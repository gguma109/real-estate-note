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N:\. Personal_folder\엑셀 자료\"/>
    </mc:Choice>
  </mc:AlternateContent>
  <xr:revisionPtr revIDLastSave="0" documentId="13_ncr:1_{207A7857-DC4A-4F29-BC53-9898298FE01B}" xr6:coauthVersionLast="47" xr6:coauthVersionMax="47" xr10:uidLastSave="{00000000-0000-0000-0000-000000000000}"/>
  <bookViews>
    <workbookView xWindow="-28920" yWindow="-120" windowWidth="29040" windowHeight="15840" activeTab="6" xr2:uid="{00000000-000D-0000-FFFF-FFFF00000000}"/>
  </bookViews>
  <sheets>
    <sheet name="구축" sheetId="2" r:id="rId1"/>
    <sheet name="신축" sheetId="1" r:id="rId2"/>
    <sheet name="상가주택1" sheetId="3" r:id="rId3"/>
    <sheet name="상가주택2" sheetId="4" r:id="rId4"/>
    <sheet name="상가주택3" sheetId="5" r:id="rId5"/>
    <sheet name="상가주택4" sheetId="6" r:id="rId6"/>
    <sheet name="오피스텔" sheetId="9" r:id="rId7"/>
    <sheet name="상가건물" sheetId="7" r:id="rId8"/>
    <sheet name="숙박시설" sheetId="8" r:id="rId9"/>
  </sheets>
  <definedNames>
    <definedName name="_xlnm.Print_Area" localSheetId="0">구축!$A$1:$I$38</definedName>
    <definedName name="_xlnm.Print_Area" localSheetId="7">상가건물!$A$1:$I$38</definedName>
    <definedName name="_xlnm.Print_Area" localSheetId="2">상가주택1!$A$1:$I$38</definedName>
    <definedName name="_xlnm.Print_Area" localSheetId="3">상가주택2!$A$1:$I$38</definedName>
    <definedName name="_xlnm.Print_Area" localSheetId="4">상가주택3!$A$1:$I$38</definedName>
    <definedName name="_xlnm.Print_Area" localSheetId="5">상가주택4!$A$1:$I$38</definedName>
    <definedName name="_xlnm.Print_Area" localSheetId="8">숙박시설!$A$1:$I$32</definedName>
    <definedName name="_xlnm.Print_Area" localSheetId="1">신축!$A$1:$I$39</definedName>
    <definedName name="_xlnm.Print_Area" localSheetId="6">오피스텔!$A$1:$L$47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2" i="9" l="1"/>
  <c r="L41" i="9"/>
  <c r="L39" i="9"/>
  <c r="L38" i="9"/>
  <c r="L36" i="9"/>
  <c r="L35" i="9"/>
  <c r="L33" i="9"/>
  <c r="L32" i="9"/>
  <c r="L30" i="9"/>
  <c r="L29" i="9"/>
  <c r="L27" i="9"/>
  <c r="L26" i="9"/>
  <c r="L24" i="9"/>
  <c r="L23" i="9"/>
  <c r="L21" i="9"/>
  <c r="L20" i="9"/>
  <c r="L18" i="9"/>
  <c r="L17" i="9"/>
  <c r="C11" i="9"/>
  <c r="C10" i="9" l="1"/>
  <c r="C12" i="9" s="1"/>
  <c r="C13" i="9" s="1"/>
  <c r="C8" i="9"/>
  <c r="C9" i="9" s="1"/>
  <c r="L13" i="9" s="1"/>
  <c r="I33" i="1" l="1"/>
  <c r="I32" i="1"/>
  <c r="I30" i="1"/>
  <c r="I29" i="1"/>
  <c r="I27" i="1"/>
  <c r="I26" i="1"/>
  <c r="I24" i="1"/>
  <c r="I23" i="1"/>
  <c r="I21" i="1"/>
  <c r="I20" i="1"/>
  <c r="I18" i="1"/>
  <c r="I17" i="1"/>
  <c r="C11" i="4"/>
  <c r="I17" i="4"/>
  <c r="I18" i="4"/>
  <c r="C10" i="4" s="1"/>
  <c r="I20" i="4"/>
  <c r="I21" i="4"/>
  <c r="I23" i="4"/>
  <c r="I24" i="4"/>
  <c r="I26" i="4"/>
  <c r="I27" i="4"/>
  <c r="I29" i="4"/>
  <c r="I30" i="4"/>
  <c r="I32" i="4"/>
  <c r="I33" i="4"/>
  <c r="C8" i="4" l="1"/>
  <c r="C9" i="4" s="1"/>
  <c r="C12" i="4"/>
  <c r="I13" i="4" s="1"/>
  <c r="C13" i="4"/>
  <c r="C11" i="8"/>
  <c r="I18" i="7"/>
  <c r="I17" i="7"/>
  <c r="C11" i="7"/>
  <c r="I33" i="6"/>
  <c r="I32" i="6"/>
  <c r="I30" i="6"/>
  <c r="I29" i="6"/>
  <c r="I27" i="6"/>
  <c r="I26" i="6"/>
  <c r="I24" i="6"/>
  <c r="I23" i="6"/>
  <c r="I21" i="6"/>
  <c r="I20" i="6"/>
  <c r="I18" i="6"/>
  <c r="I17" i="6"/>
  <c r="C11" i="6"/>
  <c r="I33" i="5"/>
  <c r="I32" i="5"/>
  <c r="I30" i="5"/>
  <c r="I29" i="5"/>
  <c r="I27" i="5"/>
  <c r="I26" i="5"/>
  <c r="I24" i="5"/>
  <c r="I23" i="5"/>
  <c r="I21" i="5"/>
  <c r="I20" i="5"/>
  <c r="I18" i="5"/>
  <c r="I17" i="5"/>
  <c r="C11" i="5"/>
  <c r="I33" i="3"/>
  <c r="I32" i="3"/>
  <c r="I30" i="3"/>
  <c r="I29" i="3"/>
  <c r="I27" i="3"/>
  <c r="I26" i="3"/>
  <c r="I24" i="3"/>
  <c r="I23" i="3"/>
  <c r="I21" i="3"/>
  <c r="I20" i="3"/>
  <c r="I18" i="3"/>
  <c r="I17" i="3"/>
  <c r="C11" i="3"/>
  <c r="C11" i="1"/>
  <c r="C11" i="2"/>
  <c r="I17" i="2"/>
  <c r="I18" i="2"/>
  <c r="I20" i="2"/>
  <c r="I21" i="2"/>
  <c r="I23" i="2"/>
  <c r="I24" i="2"/>
  <c r="I26" i="2"/>
  <c r="I27" i="2"/>
  <c r="I29" i="2"/>
  <c r="I30" i="2"/>
  <c r="I32" i="2"/>
  <c r="I33" i="2"/>
  <c r="C8" i="5" l="1"/>
  <c r="C9" i="5" s="1"/>
  <c r="C10" i="5"/>
  <c r="C10" i="1"/>
  <c r="C12" i="1" s="1"/>
  <c r="C13" i="1" s="1"/>
  <c r="C10" i="3"/>
  <c r="C12" i="3" s="1"/>
  <c r="C8" i="3"/>
  <c r="C9" i="3" s="1"/>
  <c r="C8" i="1"/>
  <c r="C9" i="1" s="1"/>
  <c r="C10" i="6"/>
  <c r="C12" i="6" s="1"/>
  <c r="C12" i="5"/>
  <c r="C13" i="5" s="1"/>
  <c r="C8" i="2"/>
  <c r="C9" i="2" s="1"/>
  <c r="C10" i="2"/>
  <c r="C12" i="2" s="1"/>
  <c r="C13" i="2" s="1"/>
  <c r="C8" i="6"/>
  <c r="C9" i="6" s="1"/>
  <c r="I13" i="6" s="1"/>
  <c r="C13" i="6"/>
  <c r="C13" i="3"/>
  <c r="I13" i="5" l="1"/>
  <c r="I13" i="1"/>
  <c r="I13" i="2"/>
  <c r="I13" i="3"/>
  <c r="I27" i="8"/>
  <c r="I26" i="8"/>
  <c r="I24" i="8"/>
  <c r="I23" i="8"/>
  <c r="I21" i="8"/>
  <c r="I20" i="8"/>
  <c r="I18" i="8"/>
  <c r="I17" i="8"/>
  <c r="I33" i="7"/>
  <c r="I32" i="7"/>
  <c r="I30" i="7"/>
  <c r="I29" i="7"/>
  <c r="I27" i="7"/>
  <c r="I26" i="7"/>
  <c r="I24" i="7"/>
  <c r="I23" i="7"/>
  <c r="I21" i="7"/>
  <c r="I20" i="7"/>
  <c r="C8" i="8" l="1"/>
  <c r="C9" i="8" s="1"/>
  <c r="C10" i="8"/>
  <c r="C8" i="7"/>
  <c r="C9" i="7" s="1"/>
  <c r="C10" i="7"/>
  <c r="C12" i="7" s="1"/>
  <c r="C13" i="7" s="1"/>
  <c r="C12" i="8"/>
  <c r="C13" i="8" s="1"/>
  <c r="I13" i="7" l="1"/>
  <c r="I13" i="8"/>
</calcChain>
</file>

<file path=xl/sharedStrings.xml><?xml version="1.0" encoding="utf-8"?>
<sst xmlns="http://schemas.openxmlformats.org/spreadsheetml/2006/main" count="707" uniqueCount="82">
  <si>
    <t>▶ 매  물  분  석  표 ◀</t>
    <phoneticPr fontId="2" type="noConversion"/>
  </si>
  <si>
    <t>소  재  지</t>
    <phoneticPr fontId="2" type="noConversion"/>
  </si>
  <si>
    <t>매  매  가</t>
    <phoneticPr fontId="2" type="noConversion"/>
  </si>
  <si>
    <t>만원</t>
    <phoneticPr fontId="2" type="noConversion"/>
  </si>
  <si>
    <t>구분</t>
    <phoneticPr fontId="2" type="noConversion"/>
  </si>
  <si>
    <t>은 행 융 자</t>
    <phoneticPr fontId="2" type="noConversion"/>
  </si>
  <si>
    <t>임대보증금</t>
    <phoneticPr fontId="2" type="noConversion"/>
  </si>
  <si>
    <t>현금투자금액</t>
    <phoneticPr fontId="2" type="noConversion"/>
  </si>
  <si>
    <t>월 총수입</t>
    <phoneticPr fontId="2" type="noConversion"/>
  </si>
  <si>
    <t>은행이자</t>
    <phoneticPr fontId="2" type="noConversion"/>
  </si>
  <si>
    <t>월 순수입</t>
    <phoneticPr fontId="2" type="noConversion"/>
  </si>
  <si>
    <t>연임대수입</t>
    <phoneticPr fontId="2" type="noConversion"/>
  </si>
  <si>
    <t>변동금리</t>
    <phoneticPr fontId="2" type="noConversion"/>
  </si>
  <si>
    <t>수익률</t>
    <phoneticPr fontId="2" type="noConversion"/>
  </si>
  <si>
    <t>임      대      현      황</t>
    <phoneticPr fontId="2" type="noConversion"/>
  </si>
  <si>
    <t>층수/호실</t>
    <phoneticPr fontId="2" type="noConversion"/>
  </si>
  <si>
    <t>1호</t>
    <phoneticPr fontId="2" type="noConversion"/>
  </si>
  <si>
    <t>2호</t>
    <phoneticPr fontId="2" type="noConversion"/>
  </si>
  <si>
    <t>3호</t>
    <phoneticPr fontId="2" type="noConversion"/>
  </si>
  <si>
    <t>4호</t>
    <phoneticPr fontId="2" type="noConversion"/>
  </si>
  <si>
    <t>5호</t>
    <phoneticPr fontId="2" type="noConversion"/>
  </si>
  <si>
    <t>6호</t>
    <phoneticPr fontId="2" type="noConversion"/>
  </si>
  <si>
    <t>합계</t>
    <phoneticPr fontId="2" type="noConversion"/>
  </si>
  <si>
    <t>1층</t>
    <phoneticPr fontId="2" type="noConversion"/>
  </si>
  <si>
    <t>보증금</t>
    <phoneticPr fontId="2" type="noConversion"/>
  </si>
  <si>
    <t>월세</t>
    <phoneticPr fontId="2" type="noConversion"/>
  </si>
  <si>
    <t>2층</t>
    <phoneticPr fontId="2" type="noConversion"/>
  </si>
  <si>
    <t>보증금</t>
    <phoneticPr fontId="2" type="noConversion"/>
  </si>
  <si>
    <t>월세</t>
    <phoneticPr fontId="2" type="noConversion"/>
  </si>
  <si>
    <t>3층</t>
    <phoneticPr fontId="2" type="noConversion"/>
  </si>
  <si>
    <t>보증금</t>
    <phoneticPr fontId="2" type="noConversion"/>
  </si>
  <si>
    <t>4층</t>
    <phoneticPr fontId="2" type="noConversion"/>
  </si>
  <si>
    <t>5층</t>
    <phoneticPr fontId="2" type="noConversion"/>
  </si>
  <si>
    <t>6층</t>
    <phoneticPr fontId="2" type="noConversion"/>
  </si>
  <si>
    <t>010 - 7707 - 6101</t>
    <phoneticPr fontId="2" type="noConversion"/>
  </si>
  <si>
    <t>기타사항</t>
    <phoneticPr fontId="2" type="noConversion"/>
  </si>
  <si>
    <t>* 노란색 공실 *</t>
    <phoneticPr fontId="2" type="noConversion"/>
  </si>
  <si>
    <t>입</t>
    <phoneticPr fontId="2" type="noConversion"/>
  </si>
  <si>
    <t>지출</t>
    <phoneticPr fontId="2" type="noConversion"/>
  </si>
  <si>
    <t>임대</t>
    <phoneticPr fontId="2" type="noConversion"/>
  </si>
  <si>
    <t>인건비</t>
    <phoneticPr fontId="2" type="noConversion"/>
  </si>
  <si>
    <t>세금</t>
    <phoneticPr fontId="2" type="noConversion"/>
  </si>
  <si>
    <t>세탁비</t>
    <phoneticPr fontId="2" type="noConversion"/>
  </si>
  <si>
    <t>기타</t>
    <phoneticPr fontId="2" type="noConversion"/>
  </si>
  <si>
    <t>지상1층</t>
    <phoneticPr fontId="2" type="noConversion"/>
  </si>
  <si>
    <t>2층</t>
    <phoneticPr fontId="2" type="noConversion"/>
  </si>
  <si>
    <t>3층</t>
    <phoneticPr fontId="2" type="noConversion"/>
  </si>
  <si>
    <t>4층</t>
    <phoneticPr fontId="2" type="noConversion"/>
  </si>
  <si>
    <t>5층</t>
    <phoneticPr fontId="2" type="noConversion"/>
  </si>
  <si>
    <t>지하1층</t>
    <phoneticPr fontId="2" type="noConversion"/>
  </si>
  <si>
    <t>대상물 특징</t>
    <phoneticPr fontId="2" type="noConversion"/>
  </si>
  <si>
    <t>옵션사양</t>
    <phoneticPr fontId="2" type="noConversion"/>
  </si>
  <si>
    <t>원룸</t>
    <phoneticPr fontId="2" type="noConversion"/>
  </si>
  <si>
    <t>1.5룸</t>
    <phoneticPr fontId="2" type="noConversion"/>
  </si>
  <si>
    <t>투룸</t>
    <phoneticPr fontId="2" type="noConversion"/>
  </si>
  <si>
    <t>쓰리룸</t>
    <phoneticPr fontId="2" type="noConversion"/>
  </si>
  <si>
    <t>준공일</t>
    <phoneticPr fontId="2" type="noConversion"/>
  </si>
  <si>
    <t>구분:다가구</t>
    <phoneticPr fontId="2" type="noConversion"/>
  </si>
  <si>
    <t>대지</t>
    <phoneticPr fontId="2" type="noConversion"/>
  </si>
  <si>
    <t>건평</t>
    <phoneticPr fontId="2" type="noConversion"/>
  </si>
  <si>
    <t>상가</t>
    <phoneticPr fontId="2" type="noConversion"/>
  </si>
  <si>
    <t>주차장</t>
    <phoneticPr fontId="2" type="noConversion"/>
  </si>
  <si>
    <t>구분:상가주택</t>
    <phoneticPr fontId="2" type="noConversion"/>
  </si>
  <si>
    <t>구분:상가주택</t>
    <phoneticPr fontId="2" type="noConversion"/>
  </si>
  <si>
    <t>구분:상가건물</t>
    <phoneticPr fontId="2" type="noConversion"/>
  </si>
  <si>
    <t>개</t>
    <phoneticPr fontId="2" type="noConversion"/>
  </si>
  <si>
    <t>세      대      수</t>
    <phoneticPr fontId="2" type="noConversion"/>
  </si>
  <si>
    <t>객      실      수</t>
    <phoneticPr fontId="2" type="noConversion"/>
  </si>
  <si>
    <t>비번</t>
    <phoneticPr fontId="2" type="noConversion"/>
  </si>
  <si>
    <t>건  물  명</t>
    <phoneticPr fontId="2" type="noConversion"/>
  </si>
  <si>
    <t>* 매도인의 자료에 의해 구성된 내용입니다.</t>
  </si>
  <si>
    <r>
      <rPr>
        <b/>
        <sz val="18"/>
        <color rgb="FFFF0000"/>
        <rFont val="G마켓 산스 TTF Medium"/>
        <family val="3"/>
        <charset val="129"/>
      </rPr>
      <t>정인</t>
    </r>
    <r>
      <rPr>
        <b/>
        <sz val="18"/>
        <color theme="1"/>
        <rFont val="G마켓 산스 TTF Medium"/>
        <family val="3"/>
        <charset val="129"/>
      </rPr>
      <t xml:space="preserve"> </t>
    </r>
    <r>
      <rPr>
        <b/>
        <sz val="18"/>
        <color rgb="FFFF0000"/>
        <rFont val="G마켓 산스 TTF Medium"/>
        <family val="3"/>
        <charset val="129"/>
      </rPr>
      <t>공인중개사무소</t>
    </r>
    <r>
      <rPr>
        <b/>
        <sz val="18"/>
        <color theme="1"/>
        <rFont val="G마켓 산스 TTF Medium"/>
        <family val="3"/>
        <charset val="129"/>
      </rPr>
      <t xml:space="preserve">       천현우 팀장</t>
    </r>
    <phoneticPr fontId="2" type="noConversion"/>
  </si>
  <si>
    <r>
      <rPr>
        <b/>
        <sz val="18"/>
        <color rgb="FFFF0000"/>
        <rFont val="G마켓 산스 TTF Medium"/>
        <family val="3"/>
        <charset val="129"/>
      </rPr>
      <t>정인 공인중개사무소</t>
    </r>
    <r>
      <rPr>
        <b/>
        <sz val="18"/>
        <color theme="1"/>
        <rFont val="G마켓 산스 TTF Medium"/>
        <family val="3"/>
        <charset val="129"/>
      </rPr>
      <t xml:space="preserve">       천현우 팀장</t>
    </r>
    <phoneticPr fontId="2" type="noConversion"/>
  </si>
  <si>
    <r>
      <rPr>
        <b/>
        <sz val="18"/>
        <color rgb="FFFF0000"/>
        <rFont val="G마켓 산스 TTF Medium"/>
        <family val="3"/>
        <charset val="129"/>
      </rPr>
      <t xml:space="preserve">정인 공인중개사무소 </t>
    </r>
    <r>
      <rPr>
        <b/>
        <sz val="18"/>
        <color theme="1"/>
        <rFont val="G마켓 산스 TTF Medium"/>
        <family val="3"/>
        <charset val="129"/>
      </rPr>
      <t xml:space="preserve">      천현우 팀장</t>
    </r>
    <phoneticPr fontId="2" type="noConversion"/>
  </si>
  <si>
    <t>7호</t>
    <phoneticPr fontId="2" type="noConversion"/>
  </si>
  <si>
    <t>8호</t>
    <phoneticPr fontId="2" type="noConversion"/>
  </si>
  <si>
    <t>9호</t>
    <phoneticPr fontId="2" type="noConversion"/>
  </si>
  <si>
    <t>7층</t>
    <phoneticPr fontId="2" type="noConversion"/>
  </si>
  <si>
    <t>8층</t>
    <phoneticPr fontId="2" type="noConversion"/>
  </si>
  <si>
    <t>9층</t>
    <phoneticPr fontId="2" type="noConversion"/>
  </si>
  <si>
    <t>* 매도인에 의해 구성된 자료입니다.</t>
  </si>
  <si>
    <r>
      <rPr>
        <b/>
        <sz val="18"/>
        <color rgb="FFFF0000"/>
        <rFont val="G마켓 산스 TTF Medium"/>
        <family val="3"/>
        <charset val="129"/>
      </rPr>
      <t>정인 공인중개사무소</t>
    </r>
    <r>
      <rPr>
        <b/>
        <sz val="18"/>
        <color theme="1"/>
        <rFont val="G마켓 산스 TTF Medium"/>
        <family val="3"/>
        <charset val="129"/>
      </rPr>
      <t xml:space="preserve">                                                  천현우 팀장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</si>
</sst>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.0%"/>
    <numFmt numFmtId="177" formatCode="0_);[Red]\(0\)"/>
    <numFmt numFmtId="178" formatCode="_-* #,##0.0_-;\-* #,##0.0_-;_-* &quot;-&quot;_-;_-@_-"/>
    <numFmt numFmtId="179" formatCode="_-* #,##0.00_-;\-* #,##0.00_-;_-* &quot;-&quot;_-;_-@_-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20"/>
      <color theme="1"/>
      <name val="G마켓 산스 TTF Light"/>
      <family val="3"/>
      <charset val="129"/>
    </font>
    <font>
      <b/>
      <sz val="18"/>
      <name val="G마켓 산스 TTF Light"/>
      <family val="3"/>
      <charset val="129"/>
    </font>
    <font>
      <b/>
      <sz val="18"/>
      <color theme="1"/>
      <name val="G마켓 산스 TTF Light"/>
      <family val="3"/>
      <charset val="129"/>
    </font>
    <font>
      <b/>
      <sz val="12"/>
      <name val="G마켓 산스 TTF Light"/>
      <family val="3"/>
      <charset val="129"/>
    </font>
    <font>
      <b/>
      <sz val="16"/>
      <color theme="9"/>
      <name val="G마켓 산스 TTF Light"/>
      <family val="3"/>
      <charset val="129"/>
    </font>
    <font>
      <b/>
      <sz val="14"/>
      <name val="G마켓 산스 TTF Light"/>
      <family val="3"/>
      <charset val="129"/>
    </font>
    <font>
      <b/>
      <sz val="16"/>
      <name val="G마켓 산스 TTF Light"/>
      <family val="3"/>
      <charset val="129"/>
    </font>
    <font>
      <b/>
      <sz val="20"/>
      <color rgb="FF0000FF"/>
      <name val="G마켓 산스 TTF Light"/>
      <family val="3"/>
      <charset val="129"/>
    </font>
    <font>
      <b/>
      <sz val="14"/>
      <color theme="1"/>
      <name val="G마켓 산스 TTF Light"/>
      <family val="3"/>
      <charset val="129"/>
    </font>
    <font>
      <b/>
      <sz val="13"/>
      <name val="G마켓 산스 TTF Light"/>
      <family val="3"/>
      <charset val="129"/>
    </font>
    <font>
      <b/>
      <sz val="15"/>
      <name val="G마켓 산스 TTF Light"/>
      <family val="3"/>
      <charset val="129"/>
    </font>
    <font>
      <b/>
      <sz val="13"/>
      <color rgb="FFFF0000"/>
      <name val="G마켓 산스 TTF Light"/>
      <family val="3"/>
      <charset val="129"/>
    </font>
    <font>
      <sz val="26"/>
      <color rgb="FFFF0000"/>
      <name val="G마켓 산스 TTF Light"/>
      <family val="3"/>
      <charset val="129"/>
    </font>
    <font>
      <b/>
      <sz val="15"/>
      <color theme="1"/>
      <name val="G마켓 산스 TTF Light"/>
      <family val="3"/>
      <charset val="129"/>
    </font>
    <font>
      <sz val="12"/>
      <color theme="1"/>
      <name val="G마켓 산스 TTF Light"/>
      <family val="3"/>
      <charset val="129"/>
    </font>
    <font>
      <sz val="12"/>
      <color rgb="FF0000FF"/>
      <name val="G마켓 산스 TTF Light"/>
      <family val="3"/>
      <charset val="129"/>
    </font>
    <font>
      <sz val="15"/>
      <color theme="1"/>
      <name val="G마켓 산스 TTF Light"/>
      <family val="3"/>
      <charset val="129"/>
    </font>
    <font>
      <sz val="12"/>
      <name val="G마켓 산스 TTF Light"/>
      <family val="3"/>
      <charset val="129"/>
    </font>
    <font>
      <b/>
      <sz val="16"/>
      <color theme="1"/>
      <name val="G마켓 산스 TTF Light"/>
      <family val="3"/>
      <charset val="129"/>
    </font>
    <font>
      <b/>
      <sz val="16"/>
      <color rgb="FFFF0000"/>
      <name val="G마켓 산스 TTF Light"/>
      <family val="3"/>
      <charset val="129"/>
    </font>
    <font>
      <sz val="36"/>
      <color theme="1"/>
      <name val="G마켓 산스 TTF Medium"/>
      <family val="3"/>
      <charset val="129"/>
    </font>
    <font>
      <b/>
      <sz val="18"/>
      <color theme="1"/>
      <name val="G마켓 산스 TTF Medium"/>
      <family val="3"/>
      <charset val="129"/>
    </font>
    <font>
      <b/>
      <sz val="48"/>
      <color rgb="FF00B050"/>
      <name val="G마켓 산스 TTF Light"/>
      <family val="3"/>
      <charset val="129"/>
    </font>
    <font>
      <b/>
      <sz val="14"/>
      <color rgb="FF0000FF"/>
      <name val="G마켓 산스 TTF Light"/>
      <family val="3"/>
      <charset val="129"/>
    </font>
    <font>
      <sz val="16"/>
      <color theme="1"/>
      <name val="G마켓 산스 TTF Light"/>
      <family val="3"/>
      <charset val="129"/>
    </font>
    <font>
      <b/>
      <sz val="16"/>
      <color theme="1"/>
      <name val="G마켓 산스 TTF Medium"/>
      <family val="3"/>
      <charset val="129"/>
    </font>
    <font>
      <b/>
      <sz val="16"/>
      <color rgb="FFFF0000"/>
      <name val="G마켓 산스 TTF Medium"/>
      <family val="3"/>
      <charset val="129"/>
    </font>
    <font>
      <b/>
      <sz val="16"/>
      <color rgb="FF0000FF"/>
      <name val="G마켓 산스 TTF Medium"/>
      <family val="3"/>
      <charset val="129"/>
    </font>
    <font>
      <b/>
      <sz val="18"/>
      <color rgb="FFFF0000"/>
      <name val="G마켓 산스 TTF Medium"/>
      <family val="3"/>
      <charset val="129"/>
    </font>
    <font>
      <b/>
      <sz val="18"/>
      <color rgb="FF0000FF"/>
      <name val="G마켓 산스 TTF Medium"/>
      <family val="3"/>
      <charset val="129"/>
    </font>
    <font>
      <b/>
      <sz val="36"/>
      <color rgb="FF00B050"/>
      <name val="G마켓 산스 TTF Light"/>
      <family val="3"/>
      <charset val="129"/>
    </font>
    <font>
      <sz val="26"/>
      <color rgb="FFFF0000"/>
      <name val="G마켓 산스 TTF Medium"/>
      <family val="3"/>
      <charset val="129"/>
    </font>
    <font>
      <b/>
      <sz val="36"/>
      <color rgb="FFFF0000"/>
      <name val="G마켓 산스 TTF Medium"/>
      <family val="3"/>
      <charset val="129"/>
    </font>
    <font>
      <sz val="18"/>
      <color theme="1"/>
      <name val="G마켓 산스 TTF Light"/>
      <family val="3"/>
      <charset val="129"/>
    </font>
    <font>
      <b/>
      <sz val="48"/>
      <color rgb="FFFF0000"/>
      <name val="G마켓 산스 TTF Bold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9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ouble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ouble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/>
      <bottom style="double">
        <color indexed="64"/>
      </bottom>
      <diagonal/>
    </border>
    <border>
      <left/>
      <right style="dashed">
        <color indexed="64"/>
      </right>
      <top/>
      <bottom style="double">
        <color indexed="64"/>
      </bottom>
      <diagonal/>
    </border>
    <border>
      <left/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/>
      <top style="double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 style="dash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ouble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8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2" borderId="9" xfId="0" applyFont="1" applyFill="1" applyBorder="1">
      <alignment vertical="center"/>
    </xf>
    <xf numFmtId="0" fontId="7" fillId="3" borderId="36" xfId="0" applyFont="1" applyFill="1" applyBorder="1" applyAlignment="1">
      <alignment horizontal="center" vertical="center"/>
    </xf>
    <xf numFmtId="0" fontId="7" fillId="3" borderId="37" xfId="0" applyFont="1" applyFill="1" applyBorder="1" applyAlignment="1">
      <alignment horizontal="center" vertical="center"/>
    </xf>
    <xf numFmtId="0" fontId="8" fillId="0" borderId="62" xfId="0" applyFont="1" applyBorder="1">
      <alignment vertical="center"/>
    </xf>
    <xf numFmtId="41" fontId="7" fillId="0" borderId="9" xfId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1" fontId="9" fillId="0" borderId="36" xfId="1" applyFont="1" applyBorder="1" applyAlignment="1">
      <alignment horizontal="center" vertical="center"/>
    </xf>
    <xf numFmtId="41" fontId="9" fillId="0" borderId="11" xfId="1" applyFont="1" applyBorder="1" applyAlignment="1">
      <alignment horizontal="center" vertical="center"/>
    </xf>
    <xf numFmtId="41" fontId="9" fillId="0" borderId="12" xfId="1" applyFont="1" applyBorder="1" applyAlignment="1">
      <alignment horizontal="center" vertical="center"/>
    </xf>
    <xf numFmtId="41" fontId="7" fillId="0" borderId="0" xfId="1" applyFont="1" applyBorder="1" applyAlignment="1">
      <alignment horizontal="center" vertical="center"/>
    </xf>
    <xf numFmtId="0" fontId="7" fillId="2" borderId="63" xfId="0" applyFont="1" applyFill="1" applyBorder="1" applyAlignment="1">
      <alignment horizontal="center" vertical="center" wrapText="1"/>
    </xf>
    <xf numFmtId="41" fontId="10" fillId="0" borderId="63" xfId="1" applyFont="1" applyBorder="1" applyAlignment="1">
      <alignment horizontal="center" vertical="center"/>
    </xf>
    <xf numFmtId="177" fontId="11" fillId="0" borderId="63" xfId="1" applyNumberFormat="1" applyFont="1" applyBorder="1" applyAlignment="1">
      <alignment horizontal="center" vertical="center"/>
    </xf>
    <xf numFmtId="41" fontId="11" fillId="0" borderId="41" xfId="1" applyFont="1" applyBorder="1" applyAlignment="1">
      <alignment horizontal="left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/>
    </xf>
    <xf numFmtId="0" fontId="7" fillId="2" borderId="64" xfId="0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 wrapText="1"/>
    </xf>
    <xf numFmtId="41" fontId="11" fillId="0" borderId="62" xfId="1" applyFont="1" applyBorder="1" applyAlignment="1">
      <alignment horizontal="left" vertical="center"/>
    </xf>
    <xf numFmtId="41" fontId="14" fillId="2" borderId="9" xfId="1" applyFont="1" applyFill="1" applyBorder="1" applyAlignment="1">
      <alignment horizontal="center" vertical="center" wrapText="1"/>
    </xf>
    <xf numFmtId="176" fontId="15" fillId="0" borderId="38" xfId="2" applyNumberFormat="1" applyFont="1" applyBorder="1" applyAlignment="1">
      <alignment horizontal="center" vertical="center" wrapText="1"/>
    </xf>
    <xf numFmtId="0" fontId="16" fillId="2" borderId="38" xfId="0" applyFont="1" applyFill="1" applyBorder="1" applyAlignment="1">
      <alignment horizontal="center" vertical="center"/>
    </xf>
    <xf numFmtId="176" fontId="11" fillId="0" borderId="42" xfId="2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41" fontId="18" fillId="0" borderId="18" xfId="1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65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1" fontId="13" fillId="0" borderId="23" xfId="1" applyFont="1" applyBorder="1" applyAlignment="1">
      <alignment horizontal="center" vertical="center"/>
    </xf>
    <xf numFmtId="41" fontId="13" fillId="0" borderId="24" xfId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66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41" fontId="13" fillId="0" borderId="25" xfId="1" applyFont="1" applyBorder="1" applyAlignment="1">
      <alignment horizontal="center" vertical="center"/>
    </xf>
    <xf numFmtId="41" fontId="13" fillId="0" borderId="28" xfId="1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41" fontId="13" fillId="0" borderId="30" xfId="1" applyFont="1" applyBorder="1" applyAlignment="1">
      <alignment horizontal="center" vertical="center"/>
    </xf>
    <xf numFmtId="41" fontId="13" fillId="0" borderId="31" xfId="1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41" fontId="19" fillId="0" borderId="32" xfId="1" applyFont="1" applyBorder="1" applyAlignment="1">
      <alignment horizontal="center" vertical="center"/>
    </xf>
    <xf numFmtId="41" fontId="20" fillId="0" borderId="24" xfId="1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41" fontId="13" fillId="0" borderId="27" xfId="1" applyFont="1" applyBorder="1" applyAlignment="1">
      <alignment horizontal="center" vertical="center"/>
    </xf>
    <xf numFmtId="41" fontId="10" fillId="0" borderId="28" xfId="1" applyFont="1" applyBorder="1" applyAlignment="1">
      <alignment horizontal="center" vertical="center"/>
    </xf>
    <xf numFmtId="0" fontId="21" fillId="0" borderId="67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41" fontId="13" fillId="0" borderId="31" xfId="0" applyNumberFormat="1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41" fontId="19" fillId="0" borderId="24" xfId="1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41" fontId="19" fillId="0" borderId="27" xfId="1" applyFont="1" applyBorder="1" applyAlignment="1">
      <alignment horizontal="center" vertical="center"/>
    </xf>
    <xf numFmtId="41" fontId="22" fillId="0" borderId="28" xfId="1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41" fontId="19" fillId="0" borderId="30" xfId="1" applyFont="1" applyBorder="1" applyAlignment="1">
      <alignment horizontal="center" vertical="center"/>
    </xf>
    <xf numFmtId="41" fontId="22" fillId="0" borderId="31" xfId="1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 wrapText="1"/>
    </xf>
    <xf numFmtId="41" fontId="22" fillId="0" borderId="24" xfId="0" applyNumberFormat="1" applyFont="1" applyBorder="1" applyAlignment="1">
      <alignment horizontal="center" vertical="center" wrapText="1"/>
    </xf>
    <xf numFmtId="41" fontId="22" fillId="0" borderId="28" xfId="2" applyNumberFormat="1" applyFont="1" applyBorder="1" applyAlignment="1">
      <alignment horizontal="center" vertical="center"/>
    </xf>
    <xf numFmtId="41" fontId="19" fillId="0" borderId="31" xfId="0" applyNumberFormat="1" applyFont="1" applyBorder="1" applyAlignment="1">
      <alignment horizontal="center" vertical="center"/>
    </xf>
    <xf numFmtId="41" fontId="24" fillId="0" borderId="36" xfId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41" fontId="8" fillId="2" borderId="9" xfId="1" applyFont="1" applyFill="1" applyBorder="1" applyAlignment="1">
      <alignment horizontal="center" vertical="center" wrapText="1"/>
    </xf>
    <xf numFmtId="176" fontId="11" fillId="0" borderId="62" xfId="2" applyNumberFormat="1" applyFont="1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27" fillId="0" borderId="45" xfId="0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/>
    </xf>
    <xf numFmtId="0" fontId="27" fillId="0" borderId="54" xfId="0" applyFont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41" fontId="13" fillId="0" borderId="32" xfId="1" applyFont="1" applyBorder="1" applyAlignment="1">
      <alignment horizontal="center" vertical="center"/>
    </xf>
    <xf numFmtId="41" fontId="28" fillId="0" borderId="24" xfId="1" applyFont="1" applyBorder="1" applyAlignment="1">
      <alignment horizontal="center" vertical="center"/>
    </xf>
    <xf numFmtId="41" fontId="10" fillId="0" borderId="31" xfId="1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 wrapText="1"/>
    </xf>
    <xf numFmtId="41" fontId="10" fillId="0" borderId="24" xfId="0" applyNumberFormat="1" applyFont="1" applyBorder="1" applyAlignment="1">
      <alignment horizontal="center" vertical="center" wrapText="1"/>
    </xf>
    <xf numFmtId="41" fontId="10" fillId="0" borderId="28" xfId="2" applyNumberFormat="1" applyFont="1" applyBorder="1" applyAlignment="1">
      <alignment horizontal="center" vertical="center"/>
    </xf>
    <xf numFmtId="41" fontId="13" fillId="0" borderId="24" xfId="0" applyNumberFormat="1" applyFont="1" applyBorder="1">
      <alignment vertical="center"/>
    </xf>
    <xf numFmtId="41" fontId="13" fillId="0" borderId="28" xfId="0" applyNumberFormat="1" applyFont="1" applyBorder="1" applyAlignment="1">
      <alignment horizontal="center" vertical="center"/>
    </xf>
    <xf numFmtId="41" fontId="13" fillId="0" borderId="24" xfId="0" applyNumberFormat="1" applyFont="1" applyBorder="1" applyAlignment="1">
      <alignment horizontal="center" vertical="center"/>
    </xf>
    <xf numFmtId="0" fontId="18" fillId="2" borderId="57" xfId="0" applyFont="1" applyFill="1" applyBorder="1" applyAlignment="1">
      <alignment horizontal="center" vertical="center"/>
    </xf>
    <xf numFmtId="0" fontId="18" fillId="2" borderId="58" xfId="0" applyFont="1" applyFill="1" applyBorder="1" applyAlignment="1">
      <alignment horizontal="center" vertical="center"/>
    </xf>
    <xf numFmtId="0" fontId="13" fillId="0" borderId="59" xfId="0" applyFont="1" applyBorder="1" applyAlignment="1">
      <alignment horizontal="center" vertical="center"/>
    </xf>
    <xf numFmtId="0" fontId="13" fillId="0" borderId="60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 wrapText="1"/>
    </xf>
    <xf numFmtId="41" fontId="30" fillId="0" borderId="36" xfId="1" applyFont="1" applyBorder="1" applyAlignment="1">
      <alignment horizontal="center" vertical="center"/>
    </xf>
    <xf numFmtId="41" fontId="30" fillId="0" borderId="37" xfId="1" applyFont="1" applyBorder="1" applyAlignment="1">
      <alignment horizontal="center" vertical="center"/>
    </xf>
    <xf numFmtId="41" fontId="31" fillId="0" borderId="36" xfId="1" applyFont="1" applyBorder="1" applyAlignment="1">
      <alignment horizontal="center" vertical="center"/>
    </xf>
    <xf numFmtId="41" fontId="31" fillId="0" borderId="37" xfId="1" applyFont="1" applyBorder="1" applyAlignment="1">
      <alignment horizontal="center" vertical="center"/>
    </xf>
    <xf numFmtId="41" fontId="32" fillId="0" borderId="36" xfId="1" applyFont="1" applyBorder="1" applyAlignment="1">
      <alignment horizontal="center" vertical="center"/>
    </xf>
    <xf numFmtId="41" fontId="32" fillId="0" borderId="37" xfId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41" fontId="24" fillId="0" borderId="11" xfId="1" applyFont="1" applyBorder="1" applyAlignment="1">
      <alignment horizontal="center" vertical="center"/>
    </xf>
    <xf numFmtId="41" fontId="24" fillId="0" borderId="12" xfId="1" applyFont="1" applyBorder="1" applyAlignment="1">
      <alignment horizontal="center" vertical="center"/>
    </xf>
    <xf numFmtId="0" fontId="10" fillId="0" borderId="62" xfId="0" applyFont="1" applyBorder="1">
      <alignment vertical="center"/>
    </xf>
    <xf numFmtId="41" fontId="33" fillId="0" borderId="36" xfId="1" applyFont="1" applyBorder="1" applyAlignment="1">
      <alignment horizontal="center" vertical="center"/>
    </xf>
    <xf numFmtId="41" fontId="33" fillId="0" borderId="37" xfId="1" applyFont="1" applyBorder="1" applyAlignment="1">
      <alignment horizontal="center" vertical="center"/>
    </xf>
    <xf numFmtId="41" fontId="34" fillId="0" borderId="36" xfId="1" applyFont="1" applyBorder="1" applyAlignment="1">
      <alignment horizontal="center" vertical="center"/>
    </xf>
    <xf numFmtId="41" fontId="34" fillId="0" borderId="37" xfId="1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25" fillId="0" borderId="76" xfId="0" applyFont="1" applyBorder="1" applyAlignment="1">
      <alignment horizontal="center" vertical="center"/>
    </xf>
    <xf numFmtId="0" fontId="25" fillId="0" borderId="77" xfId="0" applyFont="1" applyBorder="1" applyAlignment="1">
      <alignment horizontal="center" vertical="center"/>
    </xf>
    <xf numFmtId="0" fontId="25" fillId="0" borderId="78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 wrapText="1"/>
    </xf>
    <xf numFmtId="0" fontId="26" fillId="0" borderId="74" xfId="0" applyFont="1" applyBorder="1" applyAlignment="1">
      <alignment horizontal="center" vertical="center" wrapText="1"/>
    </xf>
    <xf numFmtId="0" fontId="26" fillId="0" borderId="75" xfId="0" applyFont="1" applyBorder="1" applyAlignment="1">
      <alignment horizontal="center" vertical="center" wrapText="1"/>
    </xf>
    <xf numFmtId="0" fontId="25" fillId="0" borderId="73" xfId="0" applyFont="1" applyBorder="1" applyAlignment="1">
      <alignment horizontal="center" vertical="center"/>
    </xf>
    <xf numFmtId="0" fontId="25" fillId="0" borderId="74" xfId="0" applyFont="1" applyBorder="1" applyAlignment="1">
      <alignment horizontal="center" vertical="center"/>
    </xf>
    <xf numFmtId="0" fontId="25" fillId="0" borderId="75" xfId="0" applyFont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8" fillId="2" borderId="56" xfId="0" applyFont="1" applyFill="1" applyBorder="1" applyAlignment="1">
      <alignment horizontal="center" vertical="center"/>
    </xf>
    <xf numFmtId="0" fontId="18" fillId="2" borderId="53" xfId="0" applyFont="1" applyFill="1" applyBorder="1" applyAlignment="1">
      <alignment horizontal="center" vertical="center"/>
    </xf>
    <xf numFmtId="0" fontId="13" fillId="0" borderId="80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29" fillId="0" borderId="2" xfId="0" applyFont="1" applyBorder="1" applyAlignment="1">
      <alignment vertical="center"/>
    </xf>
    <xf numFmtId="0" fontId="29" fillId="0" borderId="0" xfId="0" applyFont="1" applyBorder="1" applyAlignment="1">
      <alignment vertical="center"/>
    </xf>
    <xf numFmtId="0" fontId="13" fillId="0" borderId="69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35" fillId="0" borderId="45" xfId="0" applyFont="1" applyBorder="1" applyAlignment="1">
      <alignment horizontal="center" vertical="center"/>
    </xf>
    <xf numFmtId="0" fontId="35" fillId="0" borderId="46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35" fillId="0" borderId="47" xfId="0" applyFont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9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0" fontId="26" fillId="0" borderId="76" xfId="0" applyFont="1" applyBorder="1" applyAlignment="1">
      <alignment horizontal="center" vertical="center" wrapText="1"/>
    </xf>
    <xf numFmtId="0" fontId="26" fillId="0" borderId="77" xfId="0" applyFont="1" applyBorder="1" applyAlignment="1">
      <alignment horizontal="center" vertical="center" wrapText="1"/>
    </xf>
    <xf numFmtId="0" fontId="26" fillId="0" borderId="78" xfId="0" applyFont="1" applyBorder="1" applyAlignment="1">
      <alignment horizontal="center" vertical="center" wrapText="1"/>
    </xf>
    <xf numFmtId="0" fontId="7" fillId="2" borderId="79" xfId="0" applyFont="1" applyFill="1" applyBorder="1" applyAlignment="1">
      <alignment horizontal="center" vertical="center" wrapText="1"/>
    </xf>
    <xf numFmtId="0" fontId="7" fillId="2" borderId="7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2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0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18" fillId="0" borderId="21" xfId="0" applyFont="1" applyBorder="1" applyAlignment="1">
      <alignment horizontal="center" vertical="center"/>
    </xf>
    <xf numFmtId="0" fontId="18" fillId="0" borderId="81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23" fillId="3" borderId="36" xfId="0" applyFont="1" applyFill="1" applyBorder="1" applyAlignment="1">
      <alignment horizontal="center" vertical="center"/>
    </xf>
    <xf numFmtId="0" fontId="23" fillId="3" borderId="37" xfId="0" applyFont="1" applyFill="1" applyBorder="1" applyAlignment="1">
      <alignment horizontal="center" vertical="center"/>
    </xf>
    <xf numFmtId="41" fontId="26" fillId="3" borderId="36" xfId="0" applyNumberFormat="1" applyFont="1" applyFill="1" applyBorder="1" applyAlignment="1">
      <alignment horizontal="center" vertical="center"/>
    </xf>
    <xf numFmtId="41" fontId="26" fillId="3" borderId="11" xfId="0" applyNumberFormat="1" applyFont="1" applyFill="1" applyBorder="1" applyAlignment="1">
      <alignment horizontal="center" vertical="center"/>
    </xf>
    <xf numFmtId="41" fontId="26" fillId="3" borderId="37" xfId="0" applyNumberFormat="1" applyFont="1" applyFill="1" applyBorder="1" applyAlignment="1">
      <alignment horizontal="center" vertical="center"/>
    </xf>
    <xf numFmtId="41" fontId="33" fillId="0" borderId="11" xfId="1" applyFont="1" applyBorder="1" applyAlignment="1">
      <alignment horizontal="center" vertical="center"/>
    </xf>
    <xf numFmtId="41" fontId="34" fillId="0" borderId="11" xfId="1" applyFont="1" applyBorder="1" applyAlignment="1">
      <alignment horizontal="center" vertical="center"/>
    </xf>
    <xf numFmtId="178" fontId="33" fillId="0" borderId="36" xfId="1" applyNumberFormat="1" applyFont="1" applyBorder="1" applyAlignment="1">
      <alignment horizontal="center" vertical="center"/>
    </xf>
    <xf numFmtId="178" fontId="33" fillId="0" borderId="11" xfId="1" applyNumberFormat="1" applyFont="1" applyBorder="1" applyAlignment="1">
      <alignment horizontal="center" vertical="center"/>
    </xf>
    <xf numFmtId="178" fontId="33" fillId="0" borderId="37" xfId="1" applyNumberFormat="1" applyFont="1" applyBorder="1" applyAlignment="1">
      <alignment horizontal="center" vertical="center"/>
    </xf>
    <xf numFmtId="41" fontId="34" fillId="3" borderId="36" xfId="1" applyFont="1" applyFill="1" applyBorder="1" applyAlignment="1">
      <alignment horizontal="center" vertical="center"/>
    </xf>
    <xf numFmtId="41" fontId="34" fillId="3" borderId="11" xfId="1" applyFont="1" applyFill="1" applyBorder="1" applyAlignment="1">
      <alignment horizontal="center" vertical="center"/>
    </xf>
    <xf numFmtId="41" fontId="34" fillId="3" borderId="37" xfId="1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41" fontId="13" fillId="0" borderId="82" xfId="1" applyFont="1" applyBorder="1" applyAlignment="1">
      <alignment horizontal="center" vertical="center"/>
    </xf>
    <xf numFmtId="41" fontId="13" fillId="0" borderId="83" xfId="1" applyFont="1" applyBorder="1" applyAlignment="1">
      <alignment horizontal="center" vertical="center"/>
    </xf>
    <xf numFmtId="41" fontId="13" fillId="0" borderId="84" xfId="1" applyFont="1" applyBorder="1" applyAlignment="1">
      <alignment horizontal="center" vertical="center"/>
    </xf>
    <xf numFmtId="41" fontId="28" fillId="0" borderId="82" xfId="1" applyFont="1" applyBorder="1" applyAlignment="1">
      <alignment horizontal="center" vertical="center"/>
    </xf>
    <xf numFmtId="41" fontId="10" fillId="0" borderId="83" xfId="1" applyFont="1" applyBorder="1" applyAlignment="1">
      <alignment horizontal="center" vertical="center"/>
    </xf>
    <xf numFmtId="179" fontId="13" fillId="0" borderId="84" xfId="0" applyNumberFormat="1" applyFont="1" applyBorder="1" applyAlignment="1">
      <alignment horizontal="center" vertical="center"/>
    </xf>
    <xf numFmtId="179" fontId="10" fillId="0" borderId="84" xfId="1" applyNumberFormat="1" applyFont="1" applyBorder="1" applyAlignment="1">
      <alignment horizontal="center" vertical="center"/>
    </xf>
    <xf numFmtId="41" fontId="10" fillId="0" borderId="82" xfId="0" applyNumberFormat="1" applyFont="1" applyBorder="1" applyAlignment="1">
      <alignment horizontal="center" vertical="center" wrapText="1"/>
    </xf>
    <xf numFmtId="41" fontId="10" fillId="0" borderId="83" xfId="2" applyNumberFormat="1" applyFont="1" applyBorder="1" applyAlignment="1">
      <alignment horizontal="center" vertical="center"/>
    </xf>
    <xf numFmtId="179" fontId="13" fillId="0" borderId="31" xfId="0" applyNumberFormat="1" applyFont="1" applyBorder="1" applyAlignment="1">
      <alignment horizontal="center" vertical="center"/>
    </xf>
    <xf numFmtId="0" fontId="0" fillId="0" borderId="4" xfId="0" applyBorder="1">
      <alignment vertical="center"/>
    </xf>
    <xf numFmtId="0" fontId="38" fillId="0" borderId="2" xfId="0" applyFont="1" applyBorder="1" applyAlignment="1">
      <alignment vertical="center"/>
    </xf>
    <xf numFmtId="0" fontId="38" fillId="0" borderId="0" xfId="0" applyFont="1" applyBorder="1" applyAlignment="1">
      <alignment vertical="center"/>
    </xf>
    <xf numFmtId="0" fontId="37" fillId="0" borderId="85" xfId="0" applyFont="1" applyBorder="1" applyAlignment="1">
      <alignment vertical="center"/>
    </xf>
    <xf numFmtId="0" fontId="37" fillId="0" borderId="86" xfId="0" applyFont="1" applyBorder="1" applyAlignment="1">
      <alignment vertical="center"/>
    </xf>
    <xf numFmtId="0" fontId="37" fillId="0" borderId="0" xfId="0" applyFont="1" applyBorder="1" applyAlignment="1">
      <alignment vertical="center"/>
    </xf>
    <xf numFmtId="0" fontId="37" fillId="0" borderId="87" xfId="0" applyFont="1" applyBorder="1" applyAlignment="1">
      <alignment vertical="center"/>
    </xf>
    <xf numFmtId="0" fontId="37" fillId="0" borderId="21" xfId="0" applyFont="1" applyBorder="1" applyAlignment="1">
      <alignment vertical="center"/>
    </xf>
    <xf numFmtId="0" fontId="37" fillId="0" borderId="20" xfId="0" applyFont="1" applyBorder="1" applyAlignment="1">
      <alignment vertical="center"/>
    </xf>
    <xf numFmtId="0" fontId="37" fillId="0" borderId="25" xfId="0" applyFont="1" applyBorder="1" applyAlignment="1">
      <alignment vertical="center"/>
    </xf>
    <xf numFmtId="0" fontId="37" fillId="0" borderId="27" xfId="0" applyFont="1" applyBorder="1" applyAlignment="1">
      <alignment vertical="center"/>
    </xf>
    <xf numFmtId="0" fontId="37" fillId="0" borderId="88" xfId="0" applyFont="1" applyBorder="1" applyAlignment="1">
      <alignment vertical="center"/>
    </xf>
    <xf numFmtId="0" fontId="37" fillId="0" borderId="32" xfId="0" applyFont="1" applyBorder="1" applyAlignment="1">
      <alignment vertical="center"/>
    </xf>
    <xf numFmtId="0" fontId="37" fillId="0" borderId="26" xfId="0" applyFont="1" applyBorder="1" applyAlignment="1">
      <alignment vertical="center"/>
    </xf>
    <xf numFmtId="41" fontId="13" fillId="0" borderId="89" xfId="1" applyFont="1" applyBorder="1" applyAlignment="1">
      <alignment horizontal="center" vertical="center"/>
    </xf>
    <xf numFmtId="0" fontId="37" fillId="0" borderId="52" xfId="0" applyFont="1" applyBorder="1" applyAlignment="1">
      <alignment vertical="center"/>
    </xf>
    <xf numFmtId="0" fontId="37" fillId="0" borderId="30" xfId="0" applyFont="1" applyBorder="1" applyAlignment="1">
      <alignment vertical="center"/>
    </xf>
    <xf numFmtId="0" fontId="37" fillId="0" borderId="34" xfId="0" applyFont="1" applyBorder="1" applyAlignment="1">
      <alignment vertical="center"/>
    </xf>
    <xf numFmtId="0" fontId="37" fillId="0" borderId="45" xfId="0" applyFont="1" applyBorder="1" applyAlignment="1">
      <alignment vertical="center"/>
    </xf>
    <xf numFmtId="0" fontId="37" fillId="0" borderId="90" xfId="0" applyFont="1" applyBorder="1" applyAlignment="1">
      <alignment vertical="center"/>
    </xf>
    <xf numFmtId="0" fontId="37" fillId="0" borderId="49" xfId="0" applyFont="1" applyBorder="1" applyAlignment="1">
      <alignment vertical="center"/>
    </xf>
    <xf numFmtId="0" fontId="37" fillId="0" borderId="91" xfId="0" applyFont="1" applyBorder="1" applyAlignment="1">
      <alignment vertical="center"/>
    </xf>
    <xf numFmtId="0" fontId="37" fillId="0" borderId="50" xfId="0" applyFont="1" applyBorder="1" applyAlignment="1">
      <alignment vertical="center"/>
    </xf>
    <xf numFmtId="0" fontId="37" fillId="0" borderId="54" xfId="0" applyFont="1" applyBorder="1" applyAlignment="1">
      <alignment vertical="center"/>
    </xf>
    <xf numFmtId="0" fontId="13" fillId="0" borderId="81" xfId="0" applyFont="1" applyBorder="1" applyAlignment="1">
      <alignment horizontal="center" vertical="center"/>
    </xf>
    <xf numFmtId="0" fontId="39" fillId="0" borderId="45" xfId="0" applyFont="1" applyBorder="1" applyAlignment="1">
      <alignment horizontal="center" vertical="center"/>
    </xf>
    <xf numFmtId="0" fontId="39" fillId="0" borderId="53" xfId="0" applyFont="1" applyBorder="1" applyAlignment="1">
      <alignment horizontal="center" vertical="center"/>
    </xf>
    <xf numFmtId="0" fontId="39" fillId="0" borderId="46" xfId="0" applyFont="1" applyBorder="1" applyAlignment="1">
      <alignment horizontal="center" vertical="center"/>
    </xf>
    <xf numFmtId="0" fontId="39" fillId="0" borderId="47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0" fontId="39" fillId="0" borderId="23" xfId="0" applyFont="1" applyBorder="1" applyAlignment="1">
      <alignment horizontal="center" vertical="center"/>
    </xf>
    <xf numFmtId="0" fontId="39" fillId="0" borderId="48" xfId="0" applyFont="1" applyBorder="1" applyAlignment="1">
      <alignment horizontal="center" vertical="center"/>
    </xf>
    <xf numFmtId="0" fontId="39" fillId="0" borderId="54" xfId="0" applyFont="1" applyBorder="1" applyAlignment="1">
      <alignment horizontal="center" vertical="center"/>
    </xf>
    <xf numFmtId="0" fontId="39" fillId="0" borderId="49" xfId="0" applyFont="1" applyBorder="1" applyAlignment="1">
      <alignment horizontal="center" vertical="center"/>
    </xf>
    <xf numFmtId="0" fontId="37" fillId="0" borderId="81" xfId="0" applyFont="1" applyBorder="1" applyAlignment="1">
      <alignment vertical="center"/>
    </xf>
    <xf numFmtId="0" fontId="7" fillId="0" borderId="43" xfId="0" applyFont="1" applyBorder="1" applyAlignment="1">
      <alignment horizontal="left" vertical="center" wrapText="1"/>
    </xf>
    <xf numFmtId="0" fontId="7" fillId="0" borderId="44" xfId="0" applyFont="1" applyBorder="1" applyAlignment="1">
      <alignment horizontal="left" vertical="center" wrapText="1"/>
    </xf>
    <xf numFmtId="0" fontId="7" fillId="0" borderId="9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2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6" fillId="0" borderId="93" xfId="0" applyFont="1" applyBorder="1" applyAlignment="1">
      <alignment horizontal="center" vertical="center" wrapText="1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zoomScale="70" zoomScaleNormal="70" workbookViewId="0">
      <selection activeCell="C4" sqref="C4:E4"/>
    </sheetView>
  </sheetViews>
  <sheetFormatPr defaultRowHeight="16.5" x14ac:dyDescent="0.3"/>
  <cols>
    <col min="1" max="8" width="11.125" customWidth="1"/>
    <col min="9" max="9" width="15.125" customWidth="1"/>
  </cols>
  <sheetData>
    <row r="1" spans="1:21" ht="16.5" customHeight="1" x14ac:dyDescent="0.3">
      <c r="A1" s="101" t="s">
        <v>0</v>
      </c>
      <c r="B1" s="102"/>
      <c r="C1" s="102"/>
      <c r="D1" s="102"/>
      <c r="E1" s="102"/>
      <c r="F1" s="102"/>
      <c r="G1" s="102"/>
      <c r="H1" s="102"/>
      <c r="I1" s="103"/>
    </row>
    <row r="2" spans="1:21" ht="16.5" customHeight="1" x14ac:dyDescent="0.3">
      <c r="A2" s="104"/>
      <c r="B2" s="105"/>
      <c r="C2" s="105"/>
      <c r="D2" s="105"/>
      <c r="E2" s="105"/>
      <c r="F2" s="105"/>
      <c r="G2" s="105"/>
      <c r="H2" s="105"/>
      <c r="I2" s="106"/>
    </row>
    <row r="3" spans="1:21" ht="16.5" customHeight="1" x14ac:dyDescent="0.3">
      <c r="A3" s="107"/>
      <c r="B3" s="108"/>
      <c r="C3" s="108"/>
      <c r="D3" s="108"/>
      <c r="E3" s="108"/>
      <c r="F3" s="108"/>
      <c r="G3" s="108"/>
      <c r="H3" s="108"/>
      <c r="I3" s="109"/>
    </row>
    <row r="4" spans="1:21" ht="26.25" customHeight="1" x14ac:dyDescent="0.3">
      <c r="A4" s="3" t="s">
        <v>69</v>
      </c>
      <c r="B4" s="4"/>
      <c r="C4" s="149"/>
      <c r="D4" s="150"/>
      <c r="E4" s="195"/>
      <c r="F4" s="5" t="s">
        <v>68</v>
      </c>
      <c r="G4" s="6"/>
      <c r="H4" s="7"/>
      <c r="I4" s="8"/>
      <c r="K4" s="1" t="s">
        <v>37</v>
      </c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6.25" customHeight="1" x14ac:dyDescent="0.3">
      <c r="A5" s="3" t="s">
        <v>1</v>
      </c>
      <c r="B5" s="4"/>
      <c r="C5" s="149"/>
      <c r="D5" s="150"/>
      <c r="E5" s="195"/>
      <c r="F5" s="9" t="s">
        <v>56</v>
      </c>
      <c r="G5" s="10"/>
      <c r="H5" s="11"/>
      <c r="I5" s="154" t="s">
        <v>57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6.25" customHeight="1" x14ac:dyDescent="0.3">
      <c r="A6" s="3" t="s">
        <v>2</v>
      </c>
      <c r="B6" s="4"/>
      <c r="C6" s="143"/>
      <c r="D6" s="144"/>
      <c r="E6" s="13" t="s">
        <v>3</v>
      </c>
      <c r="F6" s="14" t="s">
        <v>58</v>
      </c>
      <c r="G6" s="149"/>
      <c r="H6" s="150"/>
      <c r="I6" s="151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6.25" customHeight="1" x14ac:dyDescent="0.3">
      <c r="A7" s="3" t="s">
        <v>5</v>
      </c>
      <c r="B7" s="4"/>
      <c r="C7" s="143"/>
      <c r="D7" s="144"/>
      <c r="E7" s="13" t="s">
        <v>3</v>
      </c>
      <c r="F7" s="14" t="s">
        <v>59</v>
      </c>
      <c r="G7" s="100"/>
      <c r="H7" s="152"/>
      <c r="I7" s="153"/>
      <c r="K7" s="1" t="s">
        <v>35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6.25" customHeight="1" x14ac:dyDescent="0.3">
      <c r="A8" s="3" t="s">
        <v>6</v>
      </c>
      <c r="B8" s="4"/>
      <c r="C8" s="145">
        <f>I17+I20+I23+I26+I29+I32</f>
        <v>0</v>
      </c>
      <c r="D8" s="146"/>
      <c r="E8" s="21" t="s">
        <v>3</v>
      </c>
      <c r="F8" s="22" t="s">
        <v>66</v>
      </c>
      <c r="G8" s="23" t="s">
        <v>60</v>
      </c>
      <c r="H8" s="24"/>
      <c r="I8" s="25" t="s">
        <v>65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6.25" customHeight="1" x14ac:dyDescent="0.3">
      <c r="A9" s="26" t="s">
        <v>7</v>
      </c>
      <c r="B9" s="27"/>
      <c r="C9" s="147">
        <f>C6-C7-C8</f>
        <v>0</v>
      </c>
      <c r="D9" s="148"/>
      <c r="E9" s="13" t="s">
        <v>3</v>
      </c>
      <c r="F9" s="28"/>
      <c r="G9" s="29" t="s">
        <v>52</v>
      </c>
      <c r="H9" s="30"/>
      <c r="I9" s="25" t="s">
        <v>65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6.25" customHeight="1" x14ac:dyDescent="0.3">
      <c r="A10" s="3" t="s">
        <v>8</v>
      </c>
      <c r="B10" s="4"/>
      <c r="C10" s="145">
        <f>I18+I21+I24+I27+I30+I33</f>
        <v>0</v>
      </c>
      <c r="D10" s="146"/>
      <c r="E10" s="13" t="s">
        <v>3</v>
      </c>
      <c r="F10" s="28"/>
      <c r="G10" s="29" t="s">
        <v>53</v>
      </c>
      <c r="H10" s="30"/>
      <c r="I10" s="25" t="s">
        <v>65</v>
      </c>
      <c r="K10" s="1" t="s">
        <v>36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6.25" customHeight="1" x14ac:dyDescent="0.3">
      <c r="A11" s="3" t="s">
        <v>9</v>
      </c>
      <c r="B11" s="4"/>
      <c r="C11" s="145">
        <f>(C7*G13)/12</f>
        <v>0</v>
      </c>
      <c r="D11" s="146"/>
      <c r="E11" s="13" t="s">
        <v>3</v>
      </c>
      <c r="F11" s="28"/>
      <c r="G11" s="29" t="s">
        <v>54</v>
      </c>
      <c r="H11" s="30"/>
      <c r="I11" s="25" t="s">
        <v>65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6.25" customHeight="1" x14ac:dyDescent="0.3">
      <c r="A12" s="3" t="s">
        <v>10</v>
      </c>
      <c r="B12" s="4"/>
      <c r="C12" s="147">
        <f>C10-C11</f>
        <v>0</v>
      </c>
      <c r="D12" s="148"/>
      <c r="E12" s="13" t="s">
        <v>3</v>
      </c>
      <c r="F12" s="31"/>
      <c r="G12" s="29" t="s">
        <v>55</v>
      </c>
      <c r="H12" s="30"/>
      <c r="I12" s="25" t="s">
        <v>65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7.75" x14ac:dyDescent="0.3">
      <c r="A13" s="26" t="s">
        <v>11</v>
      </c>
      <c r="B13" s="27"/>
      <c r="C13" s="147">
        <f>C12*12</f>
        <v>0</v>
      </c>
      <c r="D13" s="148"/>
      <c r="E13" s="13" t="s">
        <v>3</v>
      </c>
      <c r="F13" s="33" t="s">
        <v>12</v>
      </c>
      <c r="G13" s="34">
        <v>3.7999999999999999E-2</v>
      </c>
      <c r="H13" s="35" t="s">
        <v>13</v>
      </c>
      <c r="I13" s="111" t="e">
        <f>C12*12/C9</f>
        <v>#DIV/0!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36" x14ac:dyDescent="0.3">
      <c r="A14" s="37" t="s">
        <v>14</v>
      </c>
      <c r="B14" s="38"/>
      <c r="C14" s="38"/>
      <c r="D14" s="38"/>
      <c r="E14" s="38"/>
      <c r="F14" s="38"/>
      <c r="G14" s="38"/>
      <c r="H14" s="38"/>
      <c r="I14" s="39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4.95" customHeight="1" thickBot="1" x14ac:dyDescent="0.35">
      <c r="A15" s="40" t="s">
        <v>15</v>
      </c>
      <c r="B15" s="41"/>
      <c r="C15" s="42" t="s">
        <v>16</v>
      </c>
      <c r="D15" s="43" t="s">
        <v>17</v>
      </c>
      <c r="E15" s="44" t="s">
        <v>18</v>
      </c>
      <c r="F15" s="44" t="s">
        <v>19</v>
      </c>
      <c r="G15" s="45" t="s">
        <v>20</v>
      </c>
      <c r="H15" s="44" t="s">
        <v>21</v>
      </c>
      <c r="I15" s="46" t="s">
        <v>22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4.95" customHeight="1" thickTop="1" x14ac:dyDescent="0.3">
      <c r="A16" s="47" t="s">
        <v>23</v>
      </c>
      <c r="B16" s="48" t="s">
        <v>4</v>
      </c>
      <c r="C16" s="49"/>
      <c r="D16" s="49"/>
      <c r="E16" s="50"/>
      <c r="F16" s="51"/>
      <c r="G16" s="51"/>
      <c r="H16" s="52"/>
      <c r="I16" s="53"/>
    </row>
    <row r="17" spans="1:15" ht="24.95" customHeight="1" x14ac:dyDescent="0.3">
      <c r="A17" s="54"/>
      <c r="B17" s="55" t="s">
        <v>24</v>
      </c>
      <c r="C17" s="56"/>
      <c r="D17" s="56"/>
      <c r="E17" s="57"/>
      <c r="F17" s="58"/>
      <c r="G17" s="58"/>
      <c r="H17" s="59"/>
      <c r="I17" s="60">
        <f>H17+G17+F17+E17+D17+C17</f>
        <v>0</v>
      </c>
    </row>
    <row r="18" spans="1:15" ht="24.95" customHeight="1" thickBot="1" x14ac:dyDescent="0.35">
      <c r="A18" s="61"/>
      <c r="B18" s="62" t="s">
        <v>25</v>
      </c>
      <c r="C18" s="63"/>
      <c r="D18" s="64"/>
      <c r="E18" s="64"/>
      <c r="F18" s="64"/>
      <c r="G18" s="64"/>
      <c r="H18" s="65"/>
      <c r="I18" s="66">
        <f>H18+G18+F18+E18+D18+C18</f>
        <v>0</v>
      </c>
    </row>
    <row r="19" spans="1:15" ht="24.95" customHeight="1" thickTop="1" x14ac:dyDescent="0.3">
      <c r="A19" s="47" t="s">
        <v>26</v>
      </c>
      <c r="B19" s="67" t="s">
        <v>4</v>
      </c>
      <c r="C19" s="49"/>
      <c r="D19" s="127"/>
      <c r="E19" s="127"/>
      <c r="F19" s="127"/>
      <c r="G19" s="127"/>
      <c r="H19" s="128"/>
      <c r="I19" s="129"/>
    </row>
    <row r="20" spans="1:15" ht="24.95" customHeight="1" x14ac:dyDescent="0.3">
      <c r="A20" s="54"/>
      <c r="B20" s="55" t="s">
        <v>27</v>
      </c>
      <c r="C20" s="56"/>
      <c r="D20" s="56"/>
      <c r="E20" s="73"/>
      <c r="F20" s="58"/>
      <c r="G20" s="58"/>
      <c r="H20" s="74"/>
      <c r="I20" s="75">
        <f>H20+G20+F20+E20+D20+C20</f>
        <v>0</v>
      </c>
    </row>
    <row r="21" spans="1:15" ht="24.95" customHeight="1" thickBot="1" x14ac:dyDescent="0.35">
      <c r="A21" s="61"/>
      <c r="B21" s="62" t="s">
        <v>28</v>
      </c>
      <c r="C21" s="63"/>
      <c r="D21" s="63"/>
      <c r="E21" s="77"/>
      <c r="F21" s="64"/>
      <c r="G21" s="64"/>
      <c r="H21" s="64"/>
      <c r="I21" s="78">
        <f>H21+G21+F21+E21+D21+C21</f>
        <v>0</v>
      </c>
    </row>
    <row r="22" spans="1:15" ht="24.95" customHeight="1" thickTop="1" x14ac:dyDescent="0.3">
      <c r="A22" s="47" t="s">
        <v>29</v>
      </c>
      <c r="B22" s="67" t="s">
        <v>4</v>
      </c>
      <c r="C22" s="49"/>
      <c r="D22" s="127"/>
      <c r="E22" s="50"/>
      <c r="F22" s="127"/>
      <c r="G22" s="127"/>
      <c r="H22" s="128"/>
      <c r="I22" s="53"/>
    </row>
    <row r="23" spans="1:15" ht="24.95" customHeight="1" x14ac:dyDescent="0.3">
      <c r="A23" s="54"/>
      <c r="B23" s="55" t="s">
        <v>30</v>
      </c>
      <c r="C23" s="56"/>
      <c r="D23" s="58"/>
      <c r="E23" s="57"/>
      <c r="F23" s="58"/>
      <c r="G23" s="58"/>
      <c r="H23" s="74"/>
      <c r="I23" s="75">
        <f>H23+G23+F23+E23+D23+C23</f>
        <v>0</v>
      </c>
    </row>
    <row r="24" spans="1:15" ht="24.95" customHeight="1" thickBot="1" x14ac:dyDescent="0.35">
      <c r="A24" s="61"/>
      <c r="B24" s="62" t="s">
        <v>28</v>
      </c>
      <c r="C24" s="63"/>
      <c r="D24" s="64"/>
      <c r="E24" s="77"/>
      <c r="F24" s="64"/>
      <c r="G24" s="64"/>
      <c r="H24" s="65"/>
      <c r="I24" s="130">
        <f>H24+G24+F24+E24+D24+C24</f>
        <v>0</v>
      </c>
    </row>
    <row r="25" spans="1:15" ht="24.95" customHeight="1" thickTop="1" x14ac:dyDescent="0.3">
      <c r="A25" s="47" t="s">
        <v>31</v>
      </c>
      <c r="B25" s="67" t="s">
        <v>4</v>
      </c>
      <c r="C25" s="49"/>
      <c r="D25" s="49"/>
      <c r="E25" s="50"/>
      <c r="F25" s="127"/>
      <c r="G25" s="131"/>
      <c r="H25" s="131"/>
      <c r="I25" s="132"/>
    </row>
    <row r="26" spans="1:15" ht="24.95" customHeight="1" x14ac:dyDescent="0.3">
      <c r="A26" s="54"/>
      <c r="B26" s="55" t="s">
        <v>27</v>
      </c>
      <c r="C26" s="56"/>
      <c r="D26" s="56"/>
      <c r="E26" s="57"/>
      <c r="F26" s="58"/>
      <c r="G26" s="58"/>
      <c r="H26" s="58"/>
      <c r="I26" s="133">
        <f>H26+G26+F26+E26+D26+C26</f>
        <v>0</v>
      </c>
    </row>
    <row r="27" spans="1:15" ht="24.95" customHeight="1" thickBot="1" x14ac:dyDescent="0.35">
      <c r="A27" s="61"/>
      <c r="B27" s="62" t="s">
        <v>28</v>
      </c>
      <c r="C27" s="63"/>
      <c r="D27" s="63"/>
      <c r="E27" s="77"/>
      <c r="F27" s="64"/>
      <c r="G27" s="64"/>
      <c r="H27" s="64"/>
      <c r="I27" s="78">
        <f>H27+G27+F27+E27+D27+C27</f>
        <v>0</v>
      </c>
    </row>
    <row r="28" spans="1:15" ht="24.95" customHeight="1" thickTop="1" x14ac:dyDescent="0.3">
      <c r="A28" s="47" t="s">
        <v>32</v>
      </c>
      <c r="B28" s="67" t="s">
        <v>4</v>
      </c>
      <c r="C28" s="49"/>
      <c r="D28" s="49"/>
      <c r="E28" s="50"/>
      <c r="F28" s="127"/>
      <c r="G28" s="127"/>
      <c r="H28" s="127"/>
      <c r="I28" s="134"/>
    </row>
    <row r="29" spans="1:15" ht="24.95" customHeight="1" x14ac:dyDescent="0.3">
      <c r="A29" s="54"/>
      <c r="B29" s="55" t="s">
        <v>27</v>
      </c>
      <c r="C29" s="56"/>
      <c r="D29" s="56"/>
      <c r="E29" s="57"/>
      <c r="F29" s="58"/>
      <c r="G29" s="58"/>
      <c r="H29" s="58"/>
      <c r="I29" s="135">
        <f>H29+G29+F29+E29+D29+C29</f>
        <v>0</v>
      </c>
    </row>
    <row r="30" spans="1:15" ht="24.95" customHeight="1" thickBot="1" x14ac:dyDescent="0.35">
      <c r="A30" s="61"/>
      <c r="B30" s="62" t="s">
        <v>28</v>
      </c>
      <c r="C30" s="63"/>
      <c r="D30" s="63"/>
      <c r="E30" s="77"/>
      <c r="F30" s="64"/>
      <c r="G30" s="64"/>
      <c r="H30" s="64"/>
      <c r="I30" s="78">
        <f>H30+G30+F30+E30+D30+C30</f>
        <v>0</v>
      </c>
    </row>
    <row r="31" spans="1:15" ht="24.95" customHeight="1" thickTop="1" x14ac:dyDescent="0.3">
      <c r="A31" s="47" t="s">
        <v>33</v>
      </c>
      <c r="B31" s="67" t="s">
        <v>4</v>
      </c>
      <c r="C31" s="49"/>
      <c r="D31" s="127"/>
      <c r="E31" s="127"/>
      <c r="F31" s="127"/>
      <c r="G31" s="127"/>
      <c r="H31" s="127"/>
      <c r="I31" s="136"/>
      <c r="O31" s="160"/>
    </row>
    <row r="32" spans="1:15" ht="24.95" customHeight="1" x14ac:dyDescent="0.3">
      <c r="A32" s="54"/>
      <c r="B32" s="55" t="s">
        <v>24</v>
      </c>
      <c r="C32" s="56"/>
      <c r="D32" s="58"/>
      <c r="E32" s="58"/>
      <c r="F32" s="58"/>
      <c r="G32" s="58"/>
      <c r="H32" s="58"/>
      <c r="I32" s="135">
        <f>H32+G32+F32+E32+D32+C32</f>
        <v>0</v>
      </c>
    </row>
    <row r="33" spans="1:12" ht="30" customHeight="1" thickBot="1" x14ac:dyDescent="0.35">
      <c r="A33" s="61"/>
      <c r="B33" s="62" t="s">
        <v>28</v>
      </c>
      <c r="C33" s="63"/>
      <c r="D33" s="64"/>
      <c r="E33" s="64"/>
      <c r="F33" s="64"/>
      <c r="G33" s="64"/>
      <c r="H33" s="64"/>
      <c r="I33" s="78">
        <f>H33+G33+F33+E33+D33+C33</f>
        <v>0</v>
      </c>
    </row>
    <row r="34" spans="1:12" ht="30" customHeight="1" thickTop="1" x14ac:dyDescent="0.3">
      <c r="A34" s="173" t="s">
        <v>51</v>
      </c>
      <c r="B34" s="174"/>
      <c r="C34" s="175"/>
      <c r="D34" s="176"/>
      <c r="E34" s="176"/>
      <c r="F34" s="176"/>
      <c r="G34" s="176"/>
      <c r="H34" s="176"/>
      <c r="I34" s="177"/>
      <c r="L34" s="160"/>
    </row>
    <row r="35" spans="1:12" ht="30" customHeight="1" x14ac:dyDescent="0.3">
      <c r="A35" s="199" t="s">
        <v>50</v>
      </c>
      <c r="B35" s="200"/>
      <c r="C35" s="203"/>
      <c r="D35" s="203"/>
      <c r="E35" s="203"/>
      <c r="F35" s="203"/>
      <c r="G35" s="203"/>
      <c r="H35" s="203"/>
      <c r="I35" s="204"/>
    </row>
    <row r="36" spans="1:12" ht="30" customHeight="1" x14ac:dyDescent="0.3">
      <c r="A36" s="201"/>
      <c r="B36" s="202"/>
      <c r="C36" s="205"/>
      <c r="D36" s="205"/>
      <c r="E36" s="205"/>
      <c r="F36" s="205"/>
      <c r="G36" s="205"/>
      <c r="H36" s="205"/>
      <c r="I36" s="206"/>
    </row>
    <row r="37" spans="1:12" ht="30" customHeight="1" x14ac:dyDescent="0.3">
      <c r="A37" s="170" t="s">
        <v>70</v>
      </c>
      <c r="B37" s="171"/>
      <c r="C37" s="171"/>
      <c r="D37" s="171"/>
      <c r="E37" s="171"/>
      <c r="F37" s="171"/>
      <c r="G37" s="171"/>
      <c r="H37" s="171"/>
      <c r="I37" s="172"/>
    </row>
    <row r="38" spans="1:12" ht="48" customHeight="1" thickBot="1" x14ac:dyDescent="0.35">
      <c r="A38" s="164" t="s">
        <v>73</v>
      </c>
      <c r="B38" s="165"/>
      <c r="C38" s="166"/>
      <c r="D38" s="167" t="s">
        <v>34</v>
      </c>
      <c r="E38" s="168"/>
      <c r="F38" s="168"/>
      <c r="G38" s="168"/>
      <c r="H38" s="168"/>
      <c r="I38" s="169"/>
    </row>
    <row r="39" spans="1:12" x14ac:dyDescent="0.3">
      <c r="A39" s="159"/>
      <c r="B39" s="159"/>
      <c r="C39" s="159"/>
      <c r="D39" s="159"/>
      <c r="E39" s="159"/>
      <c r="F39" s="159"/>
      <c r="G39" s="159"/>
      <c r="H39" s="159"/>
      <c r="I39" s="159"/>
    </row>
  </sheetData>
  <mergeCells count="42">
    <mergeCell ref="A37:I37"/>
    <mergeCell ref="A28:A30"/>
    <mergeCell ref="A4:B4"/>
    <mergeCell ref="C4:E4"/>
    <mergeCell ref="G4:I4"/>
    <mergeCell ref="C5:E5"/>
    <mergeCell ref="F8:F12"/>
    <mergeCell ref="A9:B9"/>
    <mergeCell ref="A12:B12"/>
    <mergeCell ref="C12:D12"/>
    <mergeCell ref="C35:I35"/>
    <mergeCell ref="C36:I36"/>
    <mergeCell ref="A10:B10"/>
    <mergeCell ref="C10:D10"/>
    <mergeCell ref="A11:B11"/>
    <mergeCell ref="C11:D11"/>
    <mergeCell ref="A34:B34"/>
    <mergeCell ref="C34:I34"/>
    <mergeCell ref="A13:B13"/>
    <mergeCell ref="C13:D13"/>
    <mergeCell ref="A31:A33"/>
    <mergeCell ref="A15:B15"/>
    <mergeCell ref="A16:A18"/>
    <mergeCell ref="A19:A21"/>
    <mergeCell ref="A22:A24"/>
    <mergeCell ref="A25:A27"/>
    <mergeCell ref="A38:C38"/>
    <mergeCell ref="D38:I38"/>
    <mergeCell ref="A1:I3"/>
    <mergeCell ref="A5:B5"/>
    <mergeCell ref="A6:B6"/>
    <mergeCell ref="C6:D6"/>
    <mergeCell ref="G6:I6"/>
    <mergeCell ref="A7:B7"/>
    <mergeCell ref="C7:D7"/>
    <mergeCell ref="G7:I7"/>
    <mergeCell ref="A8:B8"/>
    <mergeCell ref="C8:D8"/>
    <mergeCell ref="A14:I14"/>
    <mergeCell ref="C9:D9"/>
    <mergeCell ref="G5:H5"/>
    <mergeCell ref="A35:B36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0" orientation="portrait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0"/>
  <sheetViews>
    <sheetView topLeftCell="A14" zoomScale="70" zoomScaleNormal="70" workbookViewId="0">
      <selection activeCell="C4" sqref="C4:E4"/>
    </sheetView>
  </sheetViews>
  <sheetFormatPr defaultRowHeight="16.5" x14ac:dyDescent="0.3"/>
  <cols>
    <col min="1" max="8" width="11.125" customWidth="1"/>
    <col min="9" max="9" width="15.125" customWidth="1"/>
  </cols>
  <sheetData>
    <row r="1" spans="1:21" ht="16.5" customHeight="1" x14ac:dyDescent="0.3">
      <c r="A1" s="101" t="s">
        <v>0</v>
      </c>
      <c r="B1" s="102"/>
      <c r="C1" s="102"/>
      <c r="D1" s="102"/>
      <c r="E1" s="102"/>
      <c r="F1" s="102"/>
      <c r="G1" s="102"/>
      <c r="H1" s="102"/>
      <c r="I1" s="103"/>
    </row>
    <row r="2" spans="1:21" ht="16.5" customHeight="1" x14ac:dyDescent="0.3">
      <c r="A2" s="104"/>
      <c r="B2" s="105"/>
      <c r="C2" s="105"/>
      <c r="D2" s="105"/>
      <c r="E2" s="105"/>
      <c r="F2" s="105"/>
      <c r="G2" s="105"/>
      <c r="H2" s="105"/>
      <c r="I2" s="106"/>
    </row>
    <row r="3" spans="1:21" ht="16.5" customHeight="1" x14ac:dyDescent="0.3">
      <c r="A3" s="107"/>
      <c r="B3" s="108"/>
      <c r="C3" s="108"/>
      <c r="D3" s="108"/>
      <c r="E3" s="108"/>
      <c r="F3" s="108"/>
      <c r="G3" s="108"/>
      <c r="H3" s="108"/>
      <c r="I3" s="109"/>
    </row>
    <row r="4" spans="1:21" ht="26.25" customHeight="1" x14ac:dyDescent="0.3">
      <c r="A4" s="3" t="s">
        <v>69</v>
      </c>
      <c r="B4" s="4"/>
      <c r="C4" s="149"/>
      <c r="D4" s="150"/>
      <c r="E4" s="195"/>
      <c r="F4" s="5" t="s">
        <v>68</v>
      </c>
      <c r="G4" s="6"/>
      <c r="H4" s="7"/>
      <c r="I4" s="8"/>
    </row>
    <row r="5" spans="1:21" ht="26.25" customHeight="1" x14ac:dyDescent="0.3">
      <c r="A5" s="3" t="s">
        <v>1</v>
      </c>
      <c r="B5" s="4"/>
      <c r="C5" s="149"/>
      <c r="D5" s="150"/>
      <c r="E5" s="195"/>
      <c r="F5" s="9" t="s">
        <v>56</v>
      </c>
      <c r="G5" s="10"/>
      <c r="H5" s="11"/>
      <c r="I5" s="154" t="s">
        <v>57</v>
      </c>
      <c r="K5" s="1" t="s">
        <v>37</v>
      </c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6.25" customHeight="1" x14ac:dyDescent="0.3">
      <c r="A6" s="3" t="s">
        <v>2</v>
      </c>
      <c r="B6" s="4"/>
      <c r="C6" s="143">
        <v>0</v>
      </c>
      <c r="D6" s="144"/>
      <c r="E6" s="13" t="s">
        <v>3</v>
      </c>
      <c r="F6" s="14" t="s">
        <v>58</v>
      </c>
      <c r="G6" s="149"/>
      <c r="H6" s="150"/>
      <c r="I6" s="151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6.25" customHeight="1" x14ac:dyDescent="0.3">
      <c r="A7" s="3" t="s">
        <v>5</v>
      </c>
      <c r="B7" s="4"/>
      <c r="C7" s="143">
        <v>0</v>
      </c>
      <c r="D7" s="144"/>
      <c r="E7" s="13" t="s">
        <v>3</v>
      </c>
      <c r="F7" s="14" t="s">
        <v>59</v>
      </c>
      <c r="G7" s="100"/>
      <c r="H7" s="152"/>
      <c r="I7" s="153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6.25" customHeight="1" x14ac:dyDescent="0.3">
      <c r="A8" s="3" t="s">
        <v>6</v>
      </c>
      <c r="B8" s="4"/>
      <c r="C8" s="145">
        <f>I17+I20+I23+I26+I29+I32</f>
        <v>0</v>
      </c>
      <c r="D8" s="146"/>
      <c r="E8" s="21" t="s">
        <v>3</v>
      </c>
      <c r="F8" s="22" t="s">
        <v>66</v>
      </c>
      <c r="G8" s="23" t="s">
        <v>60</v>
      </c>
      <c r="H8" s="24">
        <v>0</v>
      </c>
      <c r="I8" s="25" t="s">
        <v>65</v>
      </c>
      <c r="K8" s="1" t="s">
        <v>35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6.25" customHeight="1" x14ac:dyDescent="0.3">
      <c r="A9" s="26" t="s">
        <v>7</v>
      </c>
      <c r="B9" s="27"/>
      <c r="C9" s="147">
        <f>C6-C7-C8</f>
        <v>0</v>
      </c>
      <c r="D9" s="148"/>
      <c r="E9" s="13" t="s">
        <v>3</v>
      </c>
      <c r="F9" s="28"/>
      <c r="G9" s="29" t="s">
        <v>52</v>
      </c>
      <c r="H9" s="30">
        <v>0</v>
      </c>
      <c r="I9" s="25" t="s">
        <v>65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6.25" customHeight="1" x14ac:dyDescent="0.3">
      <c r="A10" s="3" t="s">
        <v>8</v>
      </c>
      <c r="B10" s="4"/>
      <c r="C10" s="145">
        <f>I18+I21+I24+I27+I30+I33</f>
        <v>0</v>
      </c>
      <c r="D10" s="146"/>
      <c r="E10" s="13" t="s">
        <v>3</v>
      </c>
      <c r="F10" s="28"/>
      <c r="G10" s="29" t="s">
        <v>53</v>
      </c>
      <c r="H10" s="30">
        <v>0</v>
      </c>
      <c r="I10" s="25" t="s">
        <v>65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6.25" customHeight="1" x14ac:dyDescent="0.3">
      <c r="A11" s="3" t="s">
        <v>9</v>
      </c>
      <c r="B11" s="4"/>
      <c r="C11" s="145">
        <f>(C7*G13)/12</f>
        <v>0</v>
      </c>
      <c r="D11" s="146"/>
      <c r="E11" s="13" t="s">
        <v>3</v>
      </c>
      <c r="F11" s="28"/>
      <c r="G11" s="29" t="s">
        <v>54</v>
      </c>
      <c r="H11" s="30">
        <v>0</v>
      </c>
      <c r="I11" s="25" t="s">
        <v>65</v>
      </c>
      <c r="K11" s="1" t="s">
        <v>36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6.25" customHeight="1" x14ac:dyDescent="0.3">
      <c r="A12" s="3" t="s">
        <v>10</v>
      </c>
      <c r="B12" s="4"/>
      <c r="C12" s="147">
        <f>C10-C11</f>
        <v>0</v>
      </c>
      <c r="D12" s="148"/>
      <c r="E12" s="13" t="s">
        <v>3</v>
      </c>
      <c r="F12" s="31"/>
      <c r="G12" s="29" t="s">
        <v>55</v>
      </c>
      <c r="H12" s="30">
        <v>0</v>
      </c>
      <c r="I12" s="25" t="s">
        <v>65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6.25" customHeight="1" x14ac:dyDescent="0.3">
      <c r="A13" s="26" t="s">
        <v>11</v>
      </c>
      <c r="B13" s="27"/>
      <c r="C13" s="147">
        <f>C12*12</f>
        <v>0</v>
      </c>
      <c r="D13" s="148"/>
      <c r="E13" s="13" t="s">
        <v>3</v>
      </c>
      <c r="F13" s="33" t="s">
        <v>12</v>
      </c>
      <c r="G13" s="34">
        <v>3.7999999999999999E-2</v>
      </c>
      <c r="H13" s="35" t="s">
        <v>13</v>
      </c>
      <c r="I13" s="111" t="e">
        <f>C12*12/C9</f>
        <v>#DIV/0!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36" x14ac:dyDescent="0.3">
      <c r="A14" s="37" t="s">
        <v>14</v>
      </c>
      <c r="B14" s="38"/>
      <c r="C14" s="38"/>
      <c r="D14" s="38"/>
      <c r="E14" s="38"/>
      <c r="F14" s="38"/>
      <c r="G14" s="38"/>
      <c r="H14" s="38"/>
      <c r="I14" s="39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7" thickBot="1" x14ac:dyDescent="0.35">
      <c r="A15" s="40" t="s">
        <v>15</v>
      </c>
      <c r="B15" s="41"/>
      <c r="C15" s="42" t="s">
        <v>16</v>
      </c>
      <c r="D15" s="43" t="s">
        <v>17</v>
      </c>
      <c r="E15" s="44" t="s">
        <v>18</v>
      </c>
      <c r="F15" s="44" t="s">
        <v>19</v>
      </c>
      <c r="G15" s="45" t="s">
        <v>20</v>
      </c>
      <c r="H15" s="44" t="s">
        <v>21</v>
      </c>
      <c r="I15" s="46" t="s">
        <v>22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4.95" customHeight="1" thickTop="1" x14ac:dyDescent="0.3">
      <c r="A16" s="47" t="s">
        <v>23</v>
      </c>
      <c r="B16" s="48" t="s">
        <v>4</v>
      </c>
      <c r="C16" s="112"/>
      <c r="D16" s="113"/>
      <c r="E16" s="114" t="s">
        <v>61</v>
      </c>
      <c r="F16" s="115"/>
      <c r="G16" s="115"/>
      <c r="H16" s="116"/>
      <c r="I16" s="5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9" ht="24.95" customHeight="1" x14ac:dyDescent="0.3">
      <c r="A17" s="54"/>
      <c r="B17" s="55" t="s">
        <v>24</v>
      </c>
      <c r="C17" s="117"/>
      <c r="D17" s="118"/>
      <c r="E17" s="119"/>
      <c r="F17" s="120"/>
      <c r="G17" s="120"/>
      <c r="H17" s="121"/>
      <c r="I17" s="60">
        <f>H17+G17+F17+E17+D17+C17</f>
        <v>0</v>
      </c>
    </row>
    <row r="18" spans="1:9" ht="24.95" customHeight="1" thickBot="1" x14ac:dyDescent="0.35">
      <c r="A18" s="61"/>
      <c r="B18" s="62" t="s">
        <v>25</v>
      </c>
      <c r="C18" s="122"/>
      <c r="D18" s="123"/>
      <c r="E18" s="124"/>
      <c r="F18" s="125"/>
      <c r="G18" s="125"/>
      <c r="H18" s="126"/>
      <c r="I18" s="66">
        <f>H18+G18+F18+E18+D18+C18</f>
        <v>0</v>
      </c>
    </row>
    <row r="19" spans="1:9" ht="24.95" customHeight="1" thickTop="1" x14ac:dyDescent="0.3">
      <c r="A19" s="47" t="s">
        <v>26</v>
      </c>
      <c r="B19" s="67" t="s">
        <v>4</v>
      </c>
      <c r="C19" s="49"/>
      <c r="D19" s="127"/>
      <c r="E19" s="127"/>
      <c r="F19" s="127"/>
      <c r="G19" s="127"/>
      <c r="H19" s="128"/>
      <c r="I19" s="129"/>
    </row>
    <row r="20" spans="1:9" ht="24.95" customHeight="1" x14ac:dyDescent="0.3">
      <c r="A20" s="54"/>
      <c r="B20" s="55" t="s">
        <v>24</v>
      </c>
      <c r="C20" s="56"/>
      <c r="D20" s="56"/>
      <c r="E20" s="73"/>
      <c r="F20" s="58"/>
      <c r="G20" s="58"/>
      <c r="H20" s="74"/>
      <c r="I20" s="75">
        <f>H20+G20+F20+E20+D20+C20</f>
        <v>0</v>
      </c>
    </row>
    <row r="21" spans="1:9" ht="24.95" customHeight="1" thickBot="1" x14ac:dyDescent="0.35">
      <c r="A21" s="61"/>
      <c r="B21" s="62" t="s">
        <v>25</v>
      </c>
      <c r="C21" s="63"/>
      <c r="D21" s="63"/>
      <c r="E21" s="77"/>
      <c r="F21" s="64"/>
      <c r="G21" s="64"/>
      <c r="H21" s="64"/>
      <c r="I21" s="78">
        <f>H21+G21+F21+E21+D21+C21</f>
        <v>0</v>
      </c>
    </row>
    <row r="22" spans="1:9" ht="24.95" customHeight="1" thickTop="1" x14ac:dyDescent="0.3">
      <c r="A22" s="47" t="s">
        <v>29</v>
      </c>
      <c r="B22" s="67" t="s">
        <v>4</v>
      </c>
      <c r="C22" s="49"/>
      <c r="D22" s="127"/>
      <c r="E22" s="50"/>
      <c r="F22" s="127"/>
      <c r="G22" s="127"/>
      <c r="H22" s="128"/>
      <c r="I22" s="53"/>
    </row>
    <row r="23" spans="1:9" ht="24.95" customHeight="1" x14ac:dyDescent="0.3">
      <c r="A23" s="54"/>
      <c r="B23" s="55" t="s">
        <v>24</v>
      </c>
      <c r="C23" s="56"/>
      <c r="D23" s="58"/>
      <c r="E23" s="57"/>
      <c r="F23" s="58"/>
      <c r="G23" s="58"/>
      <c r="H23" s="74"/>
      <c r="I23" s="75">
        <f>H23+G23+F23+E23+D23+C23</f>
        <v>0</v>
      </c>
    </row>
    <row r="24" spans="1:9" ht="24.95" customHeight="1" thickBot="1" x14ac:dyDescent="0.35">
      <c r="A24" s="61"/>
      <c r="B24" s="62" t="s">
        <v>25</v>
      </c>
      <c r="C24" s="63"/>
      <c r="D24" s="64"/>
      <c r="E24" s="77"/>
      <c r="F24" s="64"/>
      <c r="G24" s="64"/>
      <c r="H24" s="65"/>
      <c r="I24" s="130">
        <f>H24+G24+F24+E24+D24+C24</f>
        <v>0</v>
      </c>
    </row>
    <row r="25" spans="1:9" ht="24.95" customHeight="1" thickTop="1" x14ac:dyDescent="0.3">
      <c r="A25" s="47" t="s">
        <v>31</v>
      </c>
      <c r="B25" s="67" t="s">
        <v>4</v>
      </c>
      <c r="C25" s="49"/>
      <c r="D25" s="49"/>
      <c r="E25" s="50"/>
      <c r="F25" s="127"/>
      <c r="G25" s="131"/>
      <c r="H25" s="131"/>
      <c r="I25" s="132"/>
    </row>
    <row r="26" spans="1:9" ht="24.95" customHeight="1" x14ac:dyDescent="0.3">
      <c r="A26" s="54"/>
      <c r="B26" s="55" t="s">
        <v>24</v>
      </c>
      <c r="C26" s="56"/>
      <c r="D26" s="56"/>
      <c r="E26" s="57"/>
      <c r="F26" s="58"/>
      <c r="G26" s="58"/>
      <c r="H26" s="58"/>
      <c r="I26" s="133">
        <f>H26+G26+F26+E26+D26+C26</f>
        <v>0</v>
      </c>
    </row>
    <row r="27" spans="1:9" ht="24.95" customHeight="1" thickBot="1" x14ac:dyDescent="0.35">
      <c r="A27" s="61"/>
      <c r="B27" s="62" t="s">
        <v>25</v>
      </c>
      <c r="C27" s="63"/>
      <c r="D27" s="63"/>
      <c r="E27" s="77"/>
      <c r="F27" s="64"/>
      <c r="G27" s="64"/>
      <c r="H27" s="64"/>
      <c r="I27" s="78">
        <f>H27+G27+F27+E27+D27+C27</f>
        <v>0</v>
      </c>
    </row>
    <row r="28" spans="1:9" ht="24.95" customHeight="1" thickTop="1" x14ac:dyDescent="0.3">
      <c r="A28" s="47" t="s">
        <v>32</v>
      </c>
      <c r="B28" s="67" t="s">
        <v>4</v>
      </c>
      <c r="C28" s="49"/>
      <c r="D28" s="49"/>
      <c r="E28" s="50"/>
      <c r="F28" s="127"/>
      <c r="G28" s="127"/>
      <c r="H28" s="127"/>
      <c r="I28" s="134"/>
    </row>
    <row r="29" spans="1:9" ht="24.95" customHeight="1" x14ac:dyDescent="0.3">
      <c r="A29" s="54"/>
      <c r="B29" s="55" t="s">
        <v>24</v>
      </c>
      <c r="C29" s="56"/>
      <c r="D29" s="56"/>
      <c r="E29" s="57"/>
      <c r="F29" s="58"/>
      <c r="G29" s="58"/>
      <c r="H29" s="58"/>
      <c r="I29" s="135">
        <f>H29+G29+F29+E29+D29+C29</f>
        <v>0</v>
      </c>
    </row>
    <row r="30" spans="1:9" ht="24.95" customHeight="1" thickBot="1" x14ac:dyDescent="0.35">
      <c r="A30" s="61"/>
      <c r="B30" s="62" t="s">
        <v>25</v>
      </c>
      <c r="C30" s="63"/>
      <c r="D30" s="63"/>
      <c r="E30" s="77"/>
      <c r="F30" s="64"/>
      <c r="G30" s="64"/>
      <c r="H30" s="64"/>
      <c r="I30" s="78">
        <f>H30+G30+F30+E30+D30+C30</f>
        <v>0</v>
      </c>
    </row>
    <row r="31" spans="1:9" ht="24.95" customHeight="1" thickTop="1" x14ac:dyDescent="0.3">
      <c r="A31" s="47" t="s">
        <v>33</v>
      </c>
      <c r="B31" s="67" t="s">
        <v>4</v>
      </c>
      <c r="C31" s="49"/>
      <c r="D31" s="127"/>
      <c r="E31" s="127"/>
      <c r="F31" s="127"/>
      <c r="G31" s="127"/>
      <c r="H31" s="127"/>
      <c r="I31" s="136"/>
    </row>
    <row r="32" spans="1:9" ht="24.95" customHeight="1" x14ac:dyDescent="0.3">
      <c r="A32" s="54"/>
      <c r="B32" s="55" t="s">
        <v>24</v>
      </c>
      <c r="C32" s="56"/>
      <c r="D32" s="58"/>
      <c r="E32" s="58"/>
      <c r="F32" s="58"/>
      <c r="G32" s="58"/>
      <c r="H32" s="58"/>
      <c r="I32" s="135">
        <f>H32+G32+F32+E32+D32+C32</f>
        <v>0</v>
      </c>
    </row>
    <row r="33" spans="1:18" ht="24.95" customHeight="1" thickBot="1" x14ac:dyDescent="0.35">
      <c r="A33" s="61"/>
      <c r="B33" s="62" t="s">
        <v>25</v>
      </c>
      <c r="C33" s="63"/>
      <c r="D33" s="64"/>
      <c r="E33" s="64"/>
      <c r="F33" s="64"/>
      <c r="G33" s="64"/>
      <c r="H33" s="64"/>
      <c r="I33" s="78">
        <f>H33+G33+F33+E33+D33+C33</f>
        <v>0</v>
      </c>
      <c r="R33" s="160"/>
    </row>
    <row r="34" spans="1:18" ht="30" customHeight="1" thickTop="1" x14ac:dyDescent="0.3">
      <c r="A34" s="173" t="s">
        <v>51</v>
      </c>
      <c r="B34" s="174"/>
      <c r="C34" s="175"/>
      <c r="D34" s="176"/>
      <c r="E34" s="176"/>
      <c r="F34" s="176"/>
      <c r="G34" s="176"/>
      <c r="H34" s="176"/>
      <c r="I34" s="177"/>
    </row>
    <row r="35" spans="1:18" ht="30" customHeight="1" x14ac:dyDescent="0.3">
      <c r="A35" s="199" t="s">
        <v>50</v>
      </c>
      <c r="B35" s="200"/>
      <c r="C35" s="203"/>
      <c r="D35" s="203"/>
      <c r="E35" s="203"/>
      <c r="F35" s="203"/>
      <c r="G35" s="203"/>
      <c r="H35" s="203"/>
      <c r="I35" s="204"/>
    </row>
    <row r="36" spans="1:18" ht="30" customHeight="1" x14ac:dyDescent="0.3">
      <c r="A36" s="201"/>
      <c r="B36" s="202"/>
      <c r="C36" s="205"/>
      <c r="D36" s="205"/>
      <c r="E36" s="205"/>
      <c r="F36" s="205"/>
      <c r="G36" s="205"/>
      <c r="H36" s="205"/>
      <c r="I36" s="206"/>
    </row>
    <row r="37" spans="1:18" ht="30" customHeight="1" x14ac:dyDescent="0.3">
      <c r="A37" s="170" t="s">
        <v>70</v>
      </c>
      <c r="B37" s="171"/>
      <c r="C37" s="171"/>
      <c r="D37" s="171"/>
      <c r="E37" s="171"/>
      <c r="F37" s="171"/>
      <c r="G37" s="171"/>
      <c r="H37" s="171"/>
      <c r="I37" s="172"/>
    </row>
    <row r="38" spans="1:18" ht="48" customHeight="1" thickBot="1" x14ac:dyDescent="0.35">
      <c r="A38" s="164" t="s">
        <v>72</v>
      </c>
      <c r="B38" s="165"/>
      <c r="C38" s="166"/>
      <c r="D38" s="167" t="s">
        <v>34</v>
      </c>
      <c r="E38" s="168"/>
      <c r="F38" s="168"/>
      <c r="G38" s="168"/>
      <c r="H38" s="168"/>
      <c r="I38" s="169"/>
    </row>
    <row r="39" spans="1:18" ht="17.25" customHeight="1" x14ac:dyDescent="0.3">
      <c r="A39" s="178"/>
      <c r="B39" s="179"/>
      <c r="C39" s="179"/>
      <c r="D39" s="179"/>
      <c r="E39" s="179"/>
      <c r="F39" s="179"/>
      <c r="G39" s="179"/>
      <c r="H39" s="179"/>
      <c r="I39" s="179"/>
      <c r="J39" s="160"/>
    </row>
    <row r="40" spans="1:18" x14ac:dyDescent="0.3">
      <c r="A40" s="160"/>
      <c r="B40" s="160"/>
      <c r="C40" s="160"/>
      <c r="D40" s="160"/>
      <c r="E40" s="160"/>
      <c r="F40" s="160"/>
      <c r="G40" s="160"/>
      <c r="H40" s="160"/>
      <c r="I40" s="160"/>
    </row>
  </sheetData>
  <mergeCells count="46">
    <mergeCell ref="A37:I37"/>
    <mergeCell ref="A38:C38"/>
    <mergeCell ref="D38:I38"/>
    <mergeCell ref="G7:I7"/>
    <mergeCell ref="A8:B8"/>
    <mergeCell ref="C8:D8"/>
    <mergeCell ref="C9:D9"/>
    <mergeCell ref="F8:F12"/>
    <mergeCell ref="A22:A24"/>
    <mergeCell ref="A25:A27"/>
    <mergeCell ref="A28:A30"/>
    <mergeCell ref="E16:H18"/>
    <mergeCell ref="A13:B13"/>
    <mergeCell ref="C13:D13"/>
    <mergeCell ref="A15:B15"/>
    <mergeCell ref="A16:A18"/>
    <mergeCell ref="A19:A21"/>
    <mergeCell ref="A9:B9"/>
    <mergeCell ref="A12:B12"/>
    <mergeCell ref="C12:D12"/>
    <mergeCell ref="C5:E5"/>
    <mergeCell ref="A7:B7"/>
    <mergeCell ref="C7:D7"/>
    <mergeCell ref="A35:B36"/>
    <mergeCell ref="C35:I35"/>
    <mergeCell ref="C36:I36"/>
    <mergeCell ref="A31:A33"/>
    <mergeCell ref="A10:B10"/>
    <mergeCell ref="C10:D10"/>
    <mergeCell ref="A11:B11"/>
    <mergeCell ref="C11:D11"/>
    <mergeCell ref="A14:I14"/>
    <mergeCell ref="C16:D16"/>
    <mergeCell ref="C17:D17"/>
    <mergeCell ref="C18:D18"/>
    <mergeCell ref="A34:B34"/>
    <mergeCell ref="C34:I34"/>
    <mergeCell ref="A1:I3"/>
    <mergeCell ref="A5:B5"/>
    <mergeCell ref="A6:B6"/>
    <mergeCell ref="C6:D6"/>
    <mergeCell ref="G6:I6"/>
    <mergeCell ref="A4:B4"/>
    <mergeCell ref="C4:E4"/>
    <mergeCell ref="G4:I4"/>
    <mergeCell ref="G5:H5"/>
  </mergeCells>
  <phoneticPr fontId="2" type="noConversion"/>
  <printOptions horizontalCentered="1" verticalCentered="1"/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9"/>
  <sheetViews>
    <sheetView topLeftCell="A7" zoomScale="70" zoomScaleNormal="70" workbookViewId="0">
      <selection activeCell="C4" sqref="C4:E4"/>
    </sheetView>
  </sheetViews>
  <sheetFormatPr defaultRowHeight="16.5" x14ac:dyDescent="0.3"/>
  <cols>
    <col min="1" max="8" width="11.125" customWidth="1"/>
    <col min="9" max="9" width="15.125" customWidth="1"/>
  </cols>
  <sheetData>
    <row r="1" spans="1:21" ht="16.5" customHeight="1" x14ac:dyDescent="0.3">
      <c r="A1" s="101" t="s">
        <v>0</v>
      </c>
      <c r="B1" s="102"/>
      <c r="C1" s="102"/>
      <c r="D1" s="102"/>
      <c r="E1" s="102"/>
      <c r="F1" s="102"/>
      <c r="G1" s="102"/>
      <c r="H1" s="102"/>
      <c r="I1" s="103"/>
    </row>
    <row r="2" spans="1:21" ht="16.5" customHeight="1" x14ac:dyDescent="0.3">
      <c r="A2" s="104"/>
      <c r="B2" s="105"/>
      <c r="C2" s="105"/>
      <c r="D2" s="105"/>
      <c r="E2" s="105"/>
      <c r="F2" s="105"/>
      <c r="G2" s="105"/>
      <c r="H2" s="105"/>
      <c r="I2" s="106"/>
    </row>
    <row r="3" spans="1:21" ht="16.5" customHeight="1" x14ac:dyDescent="0.3">
      <c r="A3" s="107"/>
      <c r="B3" s="108"/>
      <c r="C3" s="108"/>
      <c r="D3" s="108"/>
      <c r="E3" s="108"/>
      <c r="F3" s="108"/>
      <c r="G3" s="108"/>
      <c r="H3" s="108"/>
      <c r="I3" s="109"/>
    </row>
    <row r="4" spans="1:21" ht="26.25" customHeight="1" x14ac:dyDescent="0.3">
      <c r="A4" s="3" t="s">
        <v>69</v>
      </c>
      <c r="B4" s="4"/>
      <c r="C4" s="149"/>
      <c r="D4" s="150"/>
      <c r="E4" s="195"/>
      <c r="F4" s="5" t="s">
        <v>68</v>
      </c>
      <c r="G4" s="6"/>
      <c r="H4" s="7"/>
      <c r="I4" s="8"/>
    </row>
    <row r="5" spans="1:21" ht="26.25" customHeight="1" x14ac:dyDescent="0.3">
      <c r="A5" s="3" t="s">
        <v>1</v>
      </c>
      <c r="B5" s="4"/>
      <c r="C5" s="149"/>
      <c r="D5" s="150"/>
      <c r="E5" s="195"/>
      <c r="F5" s="9" t="s">
        <v>56</v>
      </c>
      <c r="G5" s="10"/>
      <c r="H5" s="11"/>
      <c r="I5" s="12" t="s">
        <v>62</v>
      </c>
      <c r="K5" s="1" t="s">
        <v>37</v>
      </c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6.25" customHeight="1" x14ac:dyDescent="0.3">
      <c r="A6" s="3" t="s">
        <v>2</v>
      </c>
      <c r="B6" s="4"/>
      <c r="C6" s="143"/>
      <c r="D6" s="144"/>
      <c r="E6" s="13" t="s">
        <v>3</v>
      </c>
      <c r="F6" s="14" t="s">
        <v>58</v>
      </c>
      <c r="G6" s="15"/>
      <c r="H6" s="16"/>
      <c r="I6" s="17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6.25" customHeight="1" x14ac:dyDescent="0.3">
      <c r="A7" s="3" t="s">
        <v>5</v>
      </c>
      <c r="B7" s="4"/>
      <c r="C7" s="143"/>
      <c r="D7" s="144"/>
      <c r="E7" s="13" t="s">
        <v>3</v>
      </c>
      <c r="F7" s="14" t="s">
        <v>59</v>
      </c>
      <c r="G7" s="18"/>
      <c r="H7" s="19"/>
      <c r="I7" s="20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6.25" customHeight="1" x14ac:dyDescent="0.3">
      <c r="A8" s="3" t="s">
        <v>6</v>
      </c>
      <c r="B8" s="4"/>
      <c r="C8" s="145">
        <f>I17+I20+I23+I26+I29+I32</f>
        <v>0</v>
      </c>
      <c r="D8" s="146"/>
      <c r="E8" s="21" t="s">
        <v>3</v>
      </c>
      <c r="F8" s="22" t="s">
        <v>66</v>
      </c>
      <c r="G8" s="23" t="s">
        <v>60</v>
      </c>
      <c r="H8" s="24"/>
      <c r="I8" s="25" t="s">
        <v>65</v>
      </c>
      <c r="K8" s="1" t="s">
        <v>35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6.25" customHeight="1" x14ac:dyDescent="0.3">
      <c r="A9" s="26" t="s">
        <v>7</v>
      </c>
      <c r="B9" s="27"/>
      <c r="C9" s="147">
        <f>C6-C7-C8</f>
        <v>0</v>
      </c>
      <c r="D9" s="148"/>
      <c r="E9" s="13" t="s">
        <v>3</v>
      </c>
      <c r="F9" s="28"/>
      <c r="G9" s="29" t="s">
        <v>52</v>
      </c>
      <c r="H9" s="30"/>
      <c r="I9" s="25" t="s">
        <v>65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6.25" customHeight="1" x14ac:dyDescent="0.3">
      <c r="A10" s="3" t="s">
        <v>8</v>
      </c>
      <c r="B10" s="4"/>
      <c r="C10" s="145">
        <f>I18+I21+I24+I27+I30+I33</f>
        <v>0</v>
      </c>
      <c r="D10" s="146"/>
      <c r="E10" s="13" t="s">
        <v>3</v>
      </c>
      <c r="F10" s="28"/>
      <c r="G10" s="29" t="s">
        <v>53</v>
      </c>
      <c r="H10" s="30"/>
      <c r="I10" s="25" t="s">
        <v>65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6.25" customHeight="1" x14ac:dyDescent="0.3">
      <c r="A11" s="3" t="s">
        <v>9</v>
      </c>
      <c r="B11" s="4"/>
      <c r="C11" s="145">
        <f>(C7*G13)/12</f>
        <v>0</v>
      </c>
      <c r="D11" s="146"/>
      <c r="E11" s="13" t="s">
        <v>3</v>
      </c>
      <c r="F11" s="28"/>
      <c r="G11" s="29" t="s">
        <v>54</v>
      </c>
      <c r="H11" s="30"/>
      <c r="I11" s="25" t="s">
        <v>65</v>
      </c>
      <c r="K11" s="1" t="s">
        <v>36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6.25" customHeight="1" x14ac:dyDescent="0.3">
      <c r="A12" s="3" t="s">
        <v>10</v>
      </c>
      <c r="B12" s="4"/>
      <c r="C12" s="147">
        <f>C10-C11</f>
        <v>0</v>
      </c>
      <c r="D12" s="148"/>
      <c r="E12" s="13" t="s">
        <v>3</v>
      </c>
      <c r="F12" s="31"/>
      <c r="G12" s="29" t="s">
        <v>55</v>
      </c>
      <c r="H12" s="30"/>
      <c r="I12" s="32" t="s">
        <v>65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6.25" customHeight="1" x14ac:dyDescent="0.3">
      <c r="A13" s="26" t="s">
        <v>11</v>
      </c>
      <c r="B13" s="27"/>
      <c r="C13" s="147">
        <f>C12*12</f>
        <v>0</v>
      </c>
      <c r="D13" s="148"/>
      <c r="E13" s="13" t="s">
        <v>3</v>
      </c>
      <c r="F13" s="33" t="s">
        <v>12</v>
      </c>
      <c r="G13" s="34">
        <v>3.7999999999999999E-2</v>
      </c>
      <c r="H13" s="35" t="s">
        <v>13</v>
      </c>
      <c r="I13" s="36" t="e">
        <f>C12*12/C9</f>
        <v>#DIV/0!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36" x14ac:dyDescent="0.3">
      <c r="A14" s="37" t="s">
        <v>14</v>
      </c>
      <c r="B14" s="38"/>
      <c r="C14" s="38"/>
      <c r="D14" s="38"/>
      <c r="E14" s="38"/>
      <c r="F14" s="38"/>
      <c r="G14" s="38"/>
      <c r="H14" s="38"/>
      <c r="I14" s="39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7" thickBot="1" x14ac:dyDescent="0.35">
      <c r="A15" s="40" t="s">
        <v>15</v>
      </c>
      <c r="B15" s="41"/>
      <c r="C15" s="42" t="s">
        <v>16</v>
      </c>
      <c r="D15" s="43" t="s">
        <v>17</v>
      </c>
      <c r="E15" s="44" t="s">
        <v>18</v>
      </c>
      <c r="F15" s="44" t="s">
        <v>19</v>
      </c>
      <c r="G15" s="45" t="s">
        <v>20</v>
      </c>
      <c r="H15" s="44" t="s">
        <v>21</v>
      </c>
      <c r="I15" s="46" t="s">
        <v>22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4.95" customHeight="1" thickTop="1" x14ac:dyDescent="0.3">
      <c r="A16" s="47" t="s">
        <v>23</v>
      </c>
      <c r="B16" s="48" t="s">
        <v>4</v>
      </c>
      <c r="C16" s="180"/>
      <c r="D16" s="113"/>
      <c r="E16" s="114" t="s">
        <v>61</v>
      </c>
      <c r="F16" s="115"/>
      <c r="G16" s="115"/>
      <c r="H16" s="116"/>
      <c r="I16" s="5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9" ht="24.95" customHeight="1" x14ac:dyDescent="0.3">
      <c r="A17" s="54"/>
      <c r="B17" s="55" t="s">
        <v>24</v>
      </c>
      <c r="C17" s="181"/>
      <c r="D17" s="118"/>
      <c r="E17" s="119"/>
      <c r="F17" s="120"/>
      <c r="G17" s="120"/>
      <c r="H17" s="121"/>
      <c r="I17" s="60">
        <f>H17+G17+F17+E17+D17+C17</f>
        <v>0</v>
      </c>
    </row>
    <row r="18" spans="1:9" ht="24.95" customHeight="1" thickBot="1" x14ac:dyDescent="0.35">
      <c r="A18" s="61"/>
      <c r="B18" s="62" t="s">
        <v>25</v>
      </c>
      <c r="C18" s="182"/>
      <c r="D18" s="123"/>
      <c r="E18" s="124"/>
      <c r="F18" s="125"/>
      <c r="G18" s="125"/>
      <c r="H18" s="126"/>
      <c r="I18" s="66">
        <f>H18+G18+F18+E18+D18+C18</f>
        <v>0</v>
      </c>
    </row>
    <row r="19" spans="1:9" ht="24.95" customHeight="1" thickTop="1" x14ac:dyDescent="0.3">
      <c r="A19" s="47" t="s">
        <v>26</v>
      </c>
      <c r="B19" s="67" t="s">
        <v>4</v>
      </c>
      <c r="C19" s="49"/>
      <c r="D19" s="127"/>
      <c r="E19" s="127"/>
      <c r="F19" s="127"/>
      <c r="G19" s="127"/>
      <c r="H19" s="128"/>
      <c r="I19" s="129"/>
    </row>
    <row r="20" spans="1:9" ht="24.95" customHeight="1" x14ac:dyDescent="0.3">
      <c r="A20" s="54"/>
      <c r="B20" s="55" t="s">
        <v>24</v>
      </c>
      <c r="C20" s="56"/>
      <c r="D20" s="56"/>
      <c r="E20" s="73"/>
      <c r="F20" s="58"/>
      <c r="G20" s="58"/>
      <c r="H20" s="74"/>
      <c r="I20" s="75">
        <f>H20+G20+F20+E20+D20+C20</f>
        <v>0</v>
      </c>
    </row>
    <row r="21" spans="1:9" ht="24.95" customHeight="1" thickBot="1" x14ac:dyDescent="0.35">
      <c r="A21" s="61"/>
      <c r="B21" s="62" t="s">
        <v>25</v>
      </c>
      <c r="C21" s="63"/>
      <c r="D21" s="63"/>
      <c r="E21" s="77"/>
      <c r="F21" s="64"/>
      <c r="G21" s="64"/>
      <c r="H21" s="64"/>
      <c r="I21" s="78">
        <f>H21+G21+F21+E21+D21+C21</f>
        <v>0</v>
      </c>
    </row>
    <row r="22" spans="1:9" ht="24.95" customHeight="1" thickTop="1" x14ac:dyDescent="0.3">
      <c r="A22" s="47" t="s">
        <v>29</v>
      </c>
      <c r="B22" s="67" t="s">
        <v>4</v>
      </c>
      <c r="C22" s="49"/>
      <c r="D22" s="127"/>
      <c r="E22" s="50"/>
      <c r="F22" s="127"/>
      <c r="G22" s="127"/>
      <c r="H22" s="128"/>
      <c r="I22" s="53"/>
    </row>
    <row r="23" spans="1:9" ht="24.95" customHeight="1" x14ac:dyDescent="0.3">
      <c r="A23" s="54"/>
      <c r="B23" s="55" t="s">
        <v>24</v>
      </c>
      <c r="C23" s="56"/>
      <c r="D23" s="58"/>
      <c r="E23" s="57"/>
      <c r="F23" s="58"/>
      <c r="G23" s="58"/>
      <c r="H23" s="74"/>
      <c r="I23" s="75">
        <f>H23+G23+F23+E23+D23+C23</f>
        <v>0</v>
      </c>
    </row>
    <row r="24" spans="1:9" ht="24.95" customHeight="1" thickBot="1" x14ac:dyDescent="0.35">
      <c r="A24" s="61"/>
      <c r="B24" s="62" t="s">
        <v>25</v>
      </c>
      <c r="C24" s="63"/>
      <c r="D24" s="64"/>
      <c r="E24" s="77"/>
      <c r="F24" s="64"/>
      <c r="G24" s="64"/>
      <c r="H24" s="65"/>
      <c r="I24" s="130">
        <f>H24+G24+F24+E24+D24+C24</f>
        <v>0</v>
      </c>
    </row>
    <row r="25" spans="1:9" ht="24.95" customHeight="1" thickTop="1" x14ac:dyDescent="0.3">
      <c r="A25" s="47" t="s">
        <v>31</v>
      </c>
      <c r="B25" s="67" t="s">
        <v>4</v>
      </c>
      <c r="C25" s="49"/>
      <c r="D25" s="49"/>
      <c r="E25" s="50"/>
      <c r="F25" s="127"/>
      <c r="G25" s="131"/>
      <c r="H25" s="131"/>
      <c r="I25" s="132"/>
    </row>
    <row r="26" spans="1:9" ht="24.95" customHeight="1" x14ac:dyDescent="0.3">
      <c r="A26" s="54"/>
      <c r="B26" s="55" t="s">
        <v>24</v>
      </c>
      <c r="C26" s="56"/>
      <c r="D26" s="56"/>
      <c r="E26" s="57"/>
      <c r="F26" s="58"/>
      <c r="G26" s="58"/>
      <c r="H26" s="58"/>
      <c r="I26" s="133">
        <f>H26+G26+F26+E26+D26+C26</f>
        <v>0</v>
      </c>
    </row>
    <row r="27" spans="1:9" ht="24.95" customHeight="1" thickBot="1" x14ac:dyDescent="0.35">
      <c r="A27" s="61"/>
      <c r="B27" s="62" t="s">
        <v>25</v>
      </c>
      <c r="C27" s="63"/>
      <c r="D27" s="63"/>
      <c r="E27" s="77"/>
      <c r="F27" s="64"/>
      <c r="G27" s="64"/>
      <c r="H27" s="64"/>
      <c r="I27" s="78">
        <f>H27+G27+F27+E27+D27+C27</f>
        <v>0</v>
      </c>
    </row>
    <row r="28" spans="1:9" ht="24.95" customHeight="1" thickTop="1" x14ac:dyDescent="0.3">
      <c r="A28" s="47" t="s">
        <v>32</v>
      </c>
      <c r="B28" s="67" t="s">
        <v>4</v>
      </c>
      <c r="C28" s="49"/>
      <c r="D28" s="49"/>
      <c r="E28" s="50"/>
      <c r="F28" s="127"/>
      <c r="G28" s="127"/>
      <c r="H28" s="127"/>
      <c r="I28" s="134"/>
    </row>
    <row r="29" spans="1:9" ht="24.95" customHeight="1" x14ac:dyDescent="0.3">
      <c r="A29" s="54"/>
      <c r="B29" s="55" t="s">
        <v>24</v>
      </c>
      <c r="C29" s="56"/>
      <c r="D29" s="56"/>
      <c r="E29" s="57"/>
      <c r="F29" s="58"/>
      <c r="G29" s="58"/>
      <c r="H29" s="58"/>
      <c r="I29" s="135">
        <f>H29+G29+F29+E29+D29+C29</f>
        <v>0</v>
      </c>
    </row>
    <row r="30" spans="1:9" ht="24.95" customHeight="1" thickBot="1" x14ac:dyDescent="0.35">
      <c r="A30" s="61"/>
      <c r="B30" s="62" t="s">
        <v>25</v>
      </c>
      <c r="C30" s="63"/>
      <c r="D30" s="63"/>
      <c r="E30" s="77"/>
      <c r="F30" s="64"/>
      <c r="G30" s="64"/>
      <c r="H30" s="64"/>
      <c r="I30" s="78">
        <f>H30+G30+F30+E30+D30+C30</f>
        <v>0</v>
      </c>
    </row>
    <row r="31" spans="1:9" ht="24.95" customHeight="1" thickTop="1" x14ac:dyDescent="0.3">
      <c r="A31" s="47" t="s">
        <v>33</v>
      </c>
      <c r="B31" s="67" t="s">
        <v>4</v>
      </c>
      <c r="C31" s="49"/>
      <c r="D31" s="127"/>
      <c r="E31" s="127"/>
      <c r="F31" s="127"/>
      <c r="G31" s="127"/>
      <c r="H31" s="127"/>
      <c r="I31" s="136"/>
    </row>
    <row r="32" spans="1:9" ht="24.95" customHeight="1" x14ac:dyDescent="0.3">
      <c r="A32" s="54"/>
      <c r="B32" s="55" t="s">
        <v>24</v>
      </c>
      <c r="C32" s="56"/>
      <c r="D32" s="58"/>
      <c r="E32" s="58"/>
      <c r="F32" s="58"/>
      <c r="G32" s="58"/>
      <c r="H32" s="58"/>
      <c r="I32" s="135">
        <f>H32+G32+F32+E32+D32+C32</f>
        <v>0</v>
      </c>
    </row>
    <row r="33" spans="1:9" ht="24.95" customHeight="1" thickBot="1" x14ac:dyDescent="0.35">
      <c r="A33" s="61"/>
      <c r="B33" s="62" t="s">
        <v>25</v>
      </c>
      <c r="C33" s="63"/>
      <c r="D33" s="64"/>
      <c r="E33" s="64"/>
      <c r="F33" s="64"/>
      <c r="G33" s="64"/>
      <c r="H33" s="64"/>
      <c r="I33" s="78">
        <f>H33+G33+F33+E33+D33+C33</f>
        <v>0</v>
      </c>
    </row>
    <row r="34" spans="1:9" ht="30" customHeight="1" thickTop="1" x14ac:dyDescent="0.3">
      <c r="A34" s="173" t="s">
        <v>51</v>
      </c>
      <c r="B34" s="174"/>
      <c r="C34" s="175"/>
      <c r="D34" s="176"/>
      <c r="E34" s="176"/>
      <c r="F34" s="176"/>
      <c r="G34" s="176"/>
      <c r="H34" s="176"/>
      <c r="I34" s="177"/>
    </row>
    <row r="35" spans="1:9" ht="30" customHeight="1" x14ac:dyDescent="0.3">
      <c r="A35" s="199" t="s">
        <v>50</v>
      </c>
      <c r="B35" s="200"/>
      <c r="C35" s="203"/>
      <c r="D35" s="203"/>
      <c r="E35" s="203"/>
      <c r="F35" s="203"/>
      <c r="G35" s="203"/>
      <c r="H35" s="203"/>
      <c r="I35" s="204"/>
    </row>
    <row r="36" spans="1:9" ht="30" customHeight="1" x14ac:dyDescent="0.3">
      <c r="A36" s="201"/>
      <c r="B36" s="202"/>
      <c r="C36" s="205"/>
      <c r="D36" s="205"/>
      <c r="E36" s="205"/>
      <c r="F36" s="205"/>
      <c r="G36" s="205"/>
      <c r="H36" s="205"/>
      <c r="I36" s="206"/>
    </row>
    <row r="37" spans="1:9" ht="30" customHeight="1" x14ac:dyDescent="0.3">
      <c r="A37" s="170" t="s">
        <v>70</v>
      </c>
      <c r="B37" s="171"/>
      <c r="C37" s="171"/>
      <c r="D37" s="171"/>
      <c r="E37" s="171"/>
      <c r="F37" s="171"/>
      <c r="G37" s="171"/>
      <c r="H37" s="171"/>
      <c r="I37" s="172"/>
    </row>
    <row r="38" spans="1:9" ht="48" customHeight="1" thickBot="1" x14ac:dyDescent="0.35">
      <c r="A38" s="164" t="s">
        <v>71</v>
      </c>
      <c r="B38" s="165"/>
      <c r="C38" s="166"/>
      <c r="D38" s="167" t="s">
        <v>34</v>
      </c>
      <c r="E38" s="168"/>
      <c r="F38" s="168"/>
      <c r="G38" s="168"/>
      <c r="H38" s="168"/>
      <c r="I38" s="169"/>
    </row>
    <row r="39" spans="1:9" ht="21.75" x14ac:dyDescent="0.3">
      <c r="A39" s="178"/>
      <c r="B39" s="179"/>
      <c r="C39" s="179"/>
      <c r="D39" s="179"/>
      <c r="E39" s="179"/>
      <c r="F39" s="179"/>
      <c r="G39" s="179"/>
      <c r="H39" s="179"/>
      <c r="I39" s="179"/>
    </row>
  </sheetData>
  <mergeCells count="46">
    <mergeCell ref="A37:I37"/>
    <mergeCell ref="A38:C38"/>
    <mergeCell ref="D38:I38"/>
    <mergeCell ref="C5:E5"/>
    <mergeCell ref="G5:H5"/>
    <mergeCell ref="F8:F12"/>
    <mergeCell ref="A34:B34"/>
    <mergeCell ref="A35:B36"/>
    <mergeCell ref="C36:I36"/>
    <mergeCell ref="C34:I34"/>
    <mergeCell ref="C35:I35"/>
    <mergeCell ref="A22:A24"/>
    <mergeCell ref="A25:A27"/>
    <mergeCell ref="E16:H18"/>
    <mergeCell ref="A31:A33"/>
    <mergeCell ref="C16:D16"/>
    <mergeCell ref="C17:D17"/>
    <mergeCell ref="C18:D18"/>
    <mergeCell ref="A28:A30"/>
    <mergeCell ref="A13:B13"/>
    <mergeCell ref="C13:D13"/>
    <mergeCell ref="A15:B15"/>
    <mergeCell ref="A19:A21"/>
    <mergeCell ref="A16:A18"/>
    <mergeCell ref="A14:I14"/>
    <mergeCell ref="A9:B9"/>
    <mergeCell ref="C9:D9"/>
    <mergeCell ref="A12:B12"/>
    <mergeCell ref="C12:D12"/>
    <mergeCell ref="A10:B10"/>
    <mergeCell ref="C10:D10"/>
    <mergeCell ref="A11:B11"/>
    <mergeCell ref="C11:D11"/>
    <mergeCell ref="A1:I3"/>
    <mergeCell ref="A5:B5"/>
    <mergeCell ref="A6:B6"/>
    <mergeCell ref="C6:D6"/>
    <mergeCell ref="G6:I6"/>
    <mergeCell ref="A4:B4"/>
    <mergeCell ref="C4:E4"/>
    <mergeCell ref="G4:I4"/>
    <mergeCell ref="A7:B7"/>
    <mergeCell ref="C7:D7"/>
    <mergeCell ref="G7:I7"/>
    <mergeCell ref="A8:B8"/>
    <mergeCell ref="C8:D8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9"/>
  <sheetViews>
    <sheetView zoomScale="70" zoomScaleNormal="70" workbookViewId="0">
      <selection activeCell="C4" sqref="C4:E4"/>
    </sheetView>
  </sheetViews>
  <sheetFormatPr defaultRowHeight="16.5" x14ac:dyDescent="0.3"/>
  <cols>
    <col min="1" max="8" width="11.125" customWidth="1"/>
    <col min="9" max="9" width="15.125" customWidth="1"/>
  </cols>
  <sheetData>
    <row r="1" spans="1:21" ht="16.5" customHeight="1" x14ac:dyDescent="0.3">
      <c r="A1" s="101" t="s">
        <v>0</v>
      </c>
      <c r="B1" s="102"/>
      <c r="C1" s="102"/>
      <c r="D1" s="102"/>
      <c r="E1" s="102"/>
      <c r="F1" s="102"/>
      <c r="G1" s="102"/>
      <c r="H1" s="102"/>
      <c r="I1" s="103"/>
    </row>
    <row r="2" spans="1:21" ht="16.5" customHeight="1" x14ac:dyDescent="0.3">
      <c r="A2" s="104"/>
      <c r="B2" s="105"/>
      <c r="C2" s="105"/>
      <c r="D2" s="105"/>
      <c r="E2" s="105"/>
      <c r="F2" s="105"/>
      <c r="G2" s="105"/>
      <c r="H2" s="105"/>
      <c r="I2" s="106"/>
    </row>
    <row r="3" spans="1:21" ht="16.5" customHeight="1" x14ac:dyDescent="0.3">
      <c r="A3" s="107"/>
      <c r="B3" s="108"/>
      <c r="C3" s="108"/>
      <c r="D3" s="108"/>
      <c r="E3" s="108"/>
      <c r="F3" s="108"/>
      <c r="G3" s="108"/>
      <c r="H3" s="108"/>
      <c r="I3" s="109"/>
    </row>
    <row r="4" spans="1:21" ht="26.25" customHeight="1" x14ac:dyDescent="0.3">
      <c r="A4" s="3" t="s">
        <v>69</v>
      </c>
      <c r="B4" s="4"/>
      <c r="C4" s="149"/>
      <c r="D4" s="150"/>
      <c r="E4" s="195"/>
      <c r="F4" s="5" t="s">
        <v>68</v>
      </c>
      <c r="G4" s="6"/>
      <c r="H4" s="7"/>
      <c r="I4" s="8"/>
      <c r="K4" s="1" t="s">
        <v>37</v>
      </c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6.25" customHeight="1" x14ac:dyDescent="0.3">
      <c r="A5" s="3" t="s">
        <v>1</v>
      </c>
      <c r="B5" s="4"/>
      <c r="C5" s="149"/>
      <c r="D5" s="150"/>
      <c r="E5" s="195"/>
      <c r="F5" s="9" t="s">
        <v>56</v>
      </c>
      <c r="G5" s="10"/>
      <c r="H5" s="11"/>
      <c r="I5" s="12" t="s">
        <v>62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6.25" customHeight="1" x14ac:dyDescent="0.3">
      <c r="A6" s="3" t="s">
        <v>2</v>
      </c>
      <c r="B6" s="4"/>
      <c r="C6" s="143"/>
      <c r="D6" s="144"/>
      <c r="E6" s="13" t="s">
        <v>3</v>
      </c>
      <c r="F6" s="14" t="s">
        <v>58</v>
      </c>
      <c r="G6" s="15"/>
      <c r="H6" s="16"/>
      <c r="I6" s="17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6.25" customHeight="1" x14ac:dyDescent="0.3">
      <c r="A7" s="3" t="s">
        <v>5</v>
      </c>
      <c r="B7" s="4"/>
      <c r="C7" s="143"/>
      <c r="D7" s="144"/>
      <c r="E7" s="13" t="s">
        <v>3</v>
      </c>
      <c r="F7" s="14" t="s">
        <v>59</v>
      </c>
      <c r="G7" s="18"/>
      <c r="H7" s="19"/>
      <c r="I7" s="20"/>
      <c r="K7" s="1" t="s">
        <v>35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6.25" customHeight="1" x14ac:dyDescent="0.3">
      <c r="A8" s="3" t="s">
        <v>6</v>
      </c>
      <c r="B8" s="4"/>
      <c r="C8" s="145">
        <f>I17+I20+I23+I26+I29+I32</f>
        <v>0</v>
      </c>
      <c r="D8" s="146"/>
      <c r="E8" s="21" t="s">
        <v>3</v>
      </c>
      <c r="F8" s="22" t="s">
        <v>66</v>
      </c>
      <c r="G8" s="23" t="s">
        <v>60</v>
      </c>
      <c r="H8" s="24"/>
      <c r="I8" s="25" t="s">
        <v>65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6.25" customHeight="1" x14ac:dyDescent="0.3">
      <c r="A9" s="26" t="s">
        <v>7</v>
      </c>
      <c r="B9" s="27"/>
      <c r="C9" s="147">
        <f>C6-C7-C8</f>
        <v>0</v>
      </c>
      <c r="D9" s="148"/>
      <c r="E9" s="13" t="s">
        <v>3</v>
      </c>
      <c r="F9" s="28"/>
      <c r="G9" s="29" t="s">
        <v>52</v>
      </c>
      <c r="H9" s="30"/>
      <c r="I9" s="25" t="s">
        <v>65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6.25" customHeight="1" x14ac:dyDescent="0.3">
      <c r="A10" s="3" t="s">
        <v>8</v>
      </c>
      <c r="B10" s="4"/>
      <c r="C10" s="145">
        <f>I18+I21+I24+I27+I30+I33</f>
        <v>0</v>
      </c>
      <c r="D10" s="146"/>
      <c r="E10" s="13" t="s">
        <v>3</v>
      </c>
      <c r="F10" s="28"/>
      <c r="G10" s="29" t="s">
        <v>53</v>
      </c>
      <c r="H10" s="30"/>
      <c r="I10" s="25" t="s">
        <v>65</v>
      </c>
      <c r="K10" s="1" t="s">
        <v>36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6.25" customHeight="1" x14ac:dyDescent="0.3">
      <c r="A11" s="3" t="s">
        <v>9</v>
      </c>
      <c r="B11" s="4"/>
      <c r="C11" s="145">
        <f>(C7*G13)/12</f>
        <v>0</v>
      </c>
      <c r="D11" s="146"/>
      <c r="E11" s="13" t="s">
        <v>3</v>
      </c>
      <c r="F11" s="28"/>
      <c r="G11" s="29" t="s">
        <v>54</v>
      </c>
      <c r="H11" s="30"/>
      <c r="I11" s="25" t="s">
        <v>65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6.25" customHeight="1" x14ac:dyDescent="0.3">
      <c r="A12" s="3" t="s">
        <v>10</v>
      </c>
      <c r="B12" s="4"/>
      <c r="C12" s="147">
        <f>C10-C11</f>
        <v>0</v>
      </c>
      <c r="D12" s="148"/>
      <c r="E12" s="13" t="s">
        <v>3</v>
      </c>
      <c r="F12" s="31"/>
      <c r="G12" s="29" t="s">
        <v>55</v>
      </c>
      <c r="H12" s="30"/>
      <c r="I12" s="32" t="s">
        <v>65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7.75" x14ac:dyDescent="0.3">
      <c r="A13" s="26" t="s">
        <v>11</v>
      </c>
      <c r="B13" s="27"/>
      <c r="C13" s="147">
        <f>C12*12</f>
        <v>0</v>
      </c>
      <c r="D13" s="148"/>
      <c r="E13" s="13" t="s">
        <v>3</v>
      </c>
      <c r="F13" s="33" t="s">
        <v>12</v>
      </c>
      <c r="G13" s="34">
        <v>3.7999999999999999E-2</v>
      </c>
      <c r="H13" s="35" t="s">
        <v>13</v>
      </c>
      <c r="I13" s="36" t="e">
        <f>C12*12/C9</f>
        <v>#DIV/0!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36" x14ac:dyDescent="0.3">
      <c r="A14" s="37" t="s">
        <v>14</v>
      </c>
      <c r="B14" s="38"/>
      <c r="C14" s="38"/>
      <c r="D14" s="38"/>
      <c r="E14" s="38"/>
      <c r="F14" s="38"/>
      <c r="G14" s="38"/>
      <c r="H14" s="38"/>
      <c r="I14" s="39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4.95" customHeight="1" thickBot="1" x14ac:dyDescent="0.35">
      <c r="A15" s="40" t="s">
        <v>15</v>
      </c>
      <c r="B15" s="41"/>
      <c r="C15" s="42" t="s">
        <v>16</v>
      </c>
      <c r="D15" s="43" t="s">
        <v>17</v>
      </c>
      <c r="E15" s="44" t="s">
        <v>18</v>
      </c>
      <c r="F15" s="44" t="s">
        <v>19</v>
      </c>
      <c r="G15" s="45" t="s">
        <v>20</v>
      </c>
      <c r="H15" s="44" t="s">
        <v>21</v>
      </c>
      <c r="I15" s="46" t="s">
        <v>22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4.95" customHeight="1" thickTop="1" x14ac:dyDescent="0.3">
      <c r="A16" s="47" t="s">
        <v>23</v>
      </c>
      <c r="B16" s="48" t="s">
        <v>4</v>
      </c>
      <c r="C16" s="180"/>
      <c r="D16" s="113"/>
      <c r="E16" s="183"/>
      <c r="F16" s="184"/>
      <c r="G16" s="185" t="s">
        <v>61</v>
      </c>
      <c r="H16" s="186"/>
      <c r="I16" s="53"/>
    </row>
    <row r="17" spans="1:9" ht="24.95" customHeight="1" x14ac:dyDescent="0.3">
      <c r="A17" s="54"/>
      <c r="B17" s="55" t="s">
        <v>24</v>
      </c>
      <c r="C17" s="181"/>
      <c r="D17" s="118"/>
      <c r="E17" s="187"/>
      <c r="F17" s="188"/>
      <c r="G17" s="189"/>
      <c r="H17" s="190"/>
      <c r="I17" s="60">
        <f>H17+G17+F17+E17+D17+C17</f>
        <v>0</v>
      </c>
    </row>
    <row r="18" spans="1:9" ht="24.95" customHeight="1" thickBot="1" x14ac:dyDescent="0.35">
      <c r="A18" s="61"/>
      <c r="B18" s="62" t="s">
        <v>25</v>
      </c>
      <c r="C18" s="182"/>
      <c r="D18" s="123"/>
      <c r="E18" s="191"/>
      <c r="F18" s="192"/>
      <c r="G18" s="193"/>
      <c r="H18" s="194"/>
      <c r="I18" s="66">
        <f>H18+G18+F18+E18+D18+C18</f>
        <v>0</v>
      </c>
    </row>
    <row r="19" spans="1:9" ht="24.95" customHeight="1" thickTop="1" x14ac:dyDescent="0.3">
      <c r="A19" s="47" t="s">
        <v>26</v>
      </c>
      <c r="B19" s="67" t="s">
        <v>4</v>
      </c>
      <c r="C19" s="49"/>
      <c r="D19" s="127"/>
      <c r="E19" s="127"/>
      <c r="F19" s="127"/>
      <c r="G19" s="127"/>
      <c r="H19" s="128"/>
      <c r="I19" s="129"/>
    </row>
    <row r="20" spans="1:9" ht="24.95" customHeight="1" x14ac:dyDescent="0.3">
      <c r="A20" s="54"/>
      <c r="B20" s="55" t="s">
        <v>24</v>
      </c>
      <c r="C20" s="56"/>
      <c r="D20" s="56"/>
      <c r="E20" s="73"/>
      <c r="F20" s="58"/>
      <c r="G20" s="58"/>
      <c r="H20" s="74"/>
      <c r="I20" s="75">
        <f>H20+G20+F20+E20+D20+C20</f>
        <v>0</v>
      </c>
    </row>
    <row r="21" spans="1:9" ht="24.95" customHeight="1" thickBot="1" x14ac:dyDescent="0.35">
      <c r="A21" s="61"/>
      <c r="B21" s="62" t="s">
        <v>25</v>
      </c>
      <c r="C21" s="63"/>
      <c r="D21" s="63"/>
      <c r="E21" s="77"/>
      <c r="F21" s="64"/>
      <c r="G21" s="64"/>
      <c r="H21" s="64"/>
      <c r="I21" s="78">
        <f>H21+G21+F21+E21+D21+C21</f>
        <v>0</v>
      </c>
    </row>
    <row r="22" spans="1:9" ht="24.95" customHeight="1" thickTop="1" x14ac:dyDescent="0.3">
      <c r="A22" s="47" t="s">
        <v>29</v>
      </c>
      <c r="B22" s="67" t="s">
        <v>4</v>
      </c>
      <c r="C22" s="49"/>
      <c r="D22" s="127"/>
      <c r="E22" s="50"/>
      <c r="F22" s="127"/>
      <c r="G22" s="127"/>
      <c r="H22" s="128"/>
      <c r="I22" s="53"/>
    </row>
    <row r="23" spans="1:9" ht="24.95" customHeight="1" x14ac:dyDescent="0.3">
      <c r="A23" s="54"/>
      <c r="B23" s="55" t="s">
        <v>24</v>
      </c>
      <c r="C23" s="56"/>
      <c r="D23" s="58"/>
      <c r="E23" s="57"/>
      <c r="F23" s="58"/>
      <c r="G23" s="58"/>
      <c r="H23" s="74"/>
      <c r="I23" s="75">
        <f>H23+G23+F23+E23+D23+C23</f>
        <v>0</v>
      </c>
    </row>
    <row r="24" spans="1:9" ht="24.95" customHeight="1" thickBot="1" x14ac:dyDescent="0.35">
      <c r="A24" s="61"/>
      <c r="B24" s="62" t="s">
        <v>25</v>
      </c>
      <c r="C24" s="63"/>
      <c r="D24" s="64"/>
      <c r="E24" s="77"/>
      <c r="F24" s="64"/>
      <c r="G24" s="64"/>
      <c r="H24" s="65"/>
      <c r="I24" s="130">
        <f>H24+G24+F24+E24+D24+C24</f>
        <v>0</v>
      </c>
    </row>
    <row r="25" spans="1:9" ht="24.95" customHeight="1" thickTop="1" x14ac:dyDescent="0.3">
      <c r="A25" s="47" t="s">
        <v>31</v>
      </c>
      <c r="B25" s="67" t="s">
        <v>4</v>
      </c>
      <c r="C25" s="49"/>
      <c r="D25" s="49"/>
      <c r="E25" s="50"/>
      <c r="F25" s="127"/>
      <c r="G25" s="131"/>
      <c r="H25" s="131"/>
      <c r="I25" s="132"/>
    </row>
    <row r="26" spans="1:9" ht="24.95" customHeight="1" x14ac:dyDescent="0.3">
      <c r="A26" s="54"/>
      <c r="B26" s="55" t="s">
        <v>24</v>
      </c>
      <c r="C26" s="56"/>
      <c r="D26" s="56"/>
      <c r="E26" s="57"/>
      <c r="F26" s="58"/>
      <c r="G26" s="58"/>
      <c r="H26" s="58"/>
      <c r="I26" s="133">
        <f>H26+G26+F26+E26+D26+C26</f>
        <v>0</v>
      </c>
    </row>
    <row r="27" spans="1:9" ht="24.95" customHeight="1" thickBot="1" x14ac:dyDescent="0.35">
      <c r="A27" s="61"/>
      <c r="B27" s="62" t="s">
        <v>25</v>
      </c>
      <c r="C27" s="63"/>
      <c r="D27" s="63"/>
      <c r="E27" s="77"/>
      <c r="F27" s="64"/>
      <c r="G27" s="64"/>
      <c r="H27" s="64"/>
      <c r="I27" s="78">
        <f>H27+G27+F27+E27+D27+C27</f>
        <v>0</v>
      </c>
    </row>
    <row r="28" spans="1:9" ht="24.95" customHeight="1" thickTop="1" x14ac:dyDescent="0.3">
      <c r="A28" s="47" t="s">
        <v>32</v>
      </c>
      <c r="B28" s="67" t="s">
        <v>4</v>
      </c>
      <c r="C28" s="49"/>
      <c r="D28" s="49"/>
      <c r="E28" s="50"/>
      <c r="F28" s="127"/>
      <c r="G28" s="127"/>
      <c r="H28" s="127"/>
      <c r="I28" s="134"/>
    </row>
    <row r="29" spans="1:9" ht="24.95" customHeight="1" x14ac:dyDescent="0.3">
      <c r="A29" s="54"/>
      <c r="B29" s="55" t="s">
        <v>24</v>
      </c>
      <c r="C29" s="56"/>
      <c r="D29" s="56"/>
      <c r="E29" s="57"/>
      <c r="F29" s="58"/>
      <c r="G29" s="58"/>
      <c r="H29" s="58"/>
      <c r="I29" s="135">
        <f>H29+G29+F29+E29+D29+C29</f>
        <v>0</v>
      </c>
    </row>
    <row r="30" spans="1:9" ht="24.95" customHeight="1" thickBot="1" x14ac:dyDescent="0.35">
      <c r="A30" s="61"/>
      <c r="B30" s="62" t="s">
        <v>25</v>
      </c>
      <c r="C30" s="63"/>
      <c r="D30" s="63"/>
      <c r="E30" s="77"/>
      <c r="F30" s="64"/>
      <c r="G30" s="64"/>
      <c r="H30" s="64"/>
      <c r="I30" s="78">
        <f>H30+G30+F30+E30+D30+C30</f>
        <v>0</v>
      </c>
    </row>
    <row r="31" spans="1:9" ht="24.95" customHeight="1" thickTop="1" x14ac:dyDescent="0.3">
      <c r="A31" s="47" t="s">
        <v>33</v>
      </c>
      <c r="B31" s="67" t="s">
        <v>4</v>
      </c>
      <c r="C31" s="49"/>
      <c r="D31" s="127"/>
      <c r="E31" s="127"/>
      <c r="F31" s="127"/>
      <c r="G31" s="127"/>
      <c r="H31" s="127"/>
      <c r="I31" s="136"/>
    </row>
    <row r="32" spans="1:9" ht="24.95" customHeight="1" x14ac:dyDescent="0.3">
      <c r="A32" s="54"/>
      <c r="B32" s="55" t="s">
        <v>24</v>
      </c>
      <c r="C32" s="56"/>
      <c r="D32" s="58"/>
      <c r="E32" s="58"/>
      <c r="F32" s="58"/>
      <c r="G32" s="58"/>
      <c r="H32" s="58"/>
      <c r="I32" s="135">
        <f>H32+G32+F32+E32+D32+C32</f>
        <v>0</v>
      </c>
    </row>
    <row r="33" spans="1:9" ht="30" customHeight="1" thickBot="1" x14ac:dyDescent="0.35">
      <c r="A33" s="61"/>
      <c r="B33" s="62" t="s">
        <v>25</v>
      </c>
      <c r="C33" s="63"/>
      <c r="D33" s="64"/>
      <c r="E33" s="64"/>
      <c r="F33" s="64"/>
      <c r="G33" s="64"/>
      <c r="H33" s="64"/>
      <c r="I33" s="78">
        <f>H33+G33+F33+E33+D33+C33</f>
        <v>0</v>
      </c>
    </row>
    <row r="34" spans="1:9" ht="30" customHeight="1" thickTop="1" x14ac:dyDescent="0.3">
      <c r="A34" s="173" t="s">
        <v>51</v>
      </c>
      <c r="B34" s="174"/>
      <c r="C34" s="175"/>
      <c r="D34" s="176"/>
      <c r="E34" s="176"/>
      <c r="F34" s="176"/>
      <c r="G34" s="176"/>
      <c r="H34" s="176"/>
      <c r="I34" s="177"/>
    </row>
    <row r="35" spans="1:9" ht="30" customHeight="1" x14ac:dyDescent="0.3">
      <c r="A35" s="199" t="s">
        <v>50</v>
      </c>
      <c r="B35" s="200"/>
      <c r="C35" s="203"/>
      <c r="D35" s="203"/>
      <c r="E35" s="203"/>
      <c r="F35" s="203"/>
      <c r="G35" s="203"/>
      <c r="H35" s="203"/>
      <c r="I35" s="204"/>
    </row>
    <row r="36" spans="1:9" ht="30" customHeight="1" x14ac:dyDescent="0.3">
      <c r="A36" s="201"/>
      <c r="B36" s="202"/>
      <c r="C36" s="205"/>
      <c r="D36" s="205"/>
      <c r="E36" s="205"/>
      <c r="F36" s="205"/>
      <c r="G36" s="205"/>
      <c r="H36" s="205"/>
      <c r="I36" s="206"/>
    </row>
    <row r="37" spans="1:9" ht="30" customHeight="1" x14ac:dyDescent="0.3">
      <c r="A37" s="170" t="s">
        <v>70</v>
      </c>
      <c r="B37" s="171"/>
      <c r="C37" s="171"/>
      <c r="D37" s="171"/>
      <c r="E37" s="171"/>
      <c r="F37" s="171"/>
      <c r="G37" s="171"/>
      <c r="H37" s="171"/>
      <c r="I37" s="172"/>
    </row>
    <row r="38" spans="1:9" ht="48" customHeight="1" thickBot="1" x14ac:dyDescent="0.35">
      <c r="A38" s="164" t="s">
        <v>71</v>
      </c>
      <c r="B38" s="165"/>
      <c r="C38" s="166"/>
      <c r="D38" s="167" t="s">
        <v>34</v>
      </c>
      <c r="E38" s="168"/>
      <c r="F38" s="168"/>
      <c r="G38" s="168"/>
      <c r="H38" s="168"/>
      <c r="I38" s="169"/>
    </row>
    <row r="39" spans="1:9" ht="21.75" x14ac:dyDescent="0.3">
      <c r="A39" s="178"/>
      <c r="B39" s="179"/>
      <c r="C39" s="179"/>
      <c r="D39" s="179"/>
      <c r="E39" s="179"/>
      <c r="F39" s="179"/>
      <c r="G39" s="179"/>
      <c r="H39" s="179"/>
      <c r="I39" s="179"/>
    </row>
  </sheetData>
  <mergeCells count="49">
    <mergeCell ref="A37:I37"/>
    <mergeCell ref="A38:C38"/>
    <mergeCell ref="D38:I38"/>
    <mergeCell ref="A4:B4"/>
    <mergeCell ref="C4:E4"/>
    <mergeCell ref="G4:I4"/>
    <mergeCell ref="A35:B36"/>
    <mergeCell ref="C36:I36"/>
    <mergeCell ref="A15:B15"/>
    <mergeCell ref="A16:A18"/>
    <mergeCell ref="A19:A21"/>
    <mergeCell ref="A22:A24"/>
    <mergeCell ref="A25:A27"/>
    <mergeCell ref="A11:B11"/>
    <mergeCell ref="C11:D11"/>
    <mergeCell ref="A12:B12"/>
    <mergeCell ref="C12:D12"/>
    <mergeCell ref="A13:B13"/>
    <mergeCell ref="C13:D13"/>
    <mergeCell ref="C5:E5"/>
    <mergeCell ref="G5:H5"/>
    <mergeCell ref="F8:F12"/>
    <mergeCell ref="A34:B34"/>
    <mergeCell ref="C34:I34"/>
    <mergeCell ref="E18:F18"/>
    <mergeCell ref="G16:H18"/>
    <mergeCell ref="A31:A33"/>
    <mergeCell ref="C16:D16"/>
    <mergeCell ref="E16:F16"/>
    <mergeCell ref="C17:D17"/>
    <mergeCell ref="E17:F17"/>
    <mergeCell ref="C18:D18"/>
    <mergeCell ref="A28:A30"/>
    <mergeCell ref="C35:I35"/>
    <mergeCell ref="A1:I3"/>
    <mergeCell ref="A5:B5"/>
    <mergeCell ref="A6:B6"/>
    <mergeCell ref="C6:D6"/>
    <mergeCell ref="G6:I6"/>
    <mergeCell ref="A7:B7"/>
    <mergeCell ref="C7:D7"/>
    <mergeCell ref="G7:I7"/>
    <mergeCell ref="A8:B8"/>
    <mergeCell ref="C8:D8"/>
    <mergeCell ref="A14:I14"/>
    <mergeCell ref="A9:B9"/>
    <mergeCell ref="C9:D9"/>
    <mergeCell ref="A10:B10"/>
    <mergeCell ref="C10:D10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2" orientation="portrait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9"/>
  <sheetViews>
    <sheetView zoomScale="70" zoomScaleNormal="70" workbookViewId="0">
      <selection activeCell="C4" sqref="C4:E4"/>
    </sheetView>
  </sheetViews>
  <sheetFormatPr defaultRowHeight="16.5" x14ac:dyDescent="0.3"/>
  <cols>
    <col min="1" max="8" width="11.125" customWidth="1"/>
    <col min="9" max="9" width="15.125" customWidth="1"/>
  </cols>
  <sheetData>
    <row r="1" spans="1:21" ht="16.5" customHeight="1" x14ac:dyDescent="0.3">
      <c r="A1" s="101" t="s">
        <v>0</v>
      </c>
      <c r="B1" s="102"/>
      <c r="C1" s="102"/>
      <c r="D1" s="102"/>
      <c r="E1" s="102"/>
      <c r="F1" s="102"/>
      <c r="G1" s="102"/>
      <c r="H1" s="102"/>
      <c r="I1" s="103"/>
    </row>
    <row r="2" spans="1:21" ht="16.5" customHeight="1" x14ac:dyDescent="0.3">
      <c r="A2" s="104"/>
      <c r="B2" s="105"/>
      <c r="C2" s="105"/>
      <c r="D2" s="105"/>
      <c r="E2" s="105"/>
      <c r="F2" s="105"/>
      <c r="G2" s="105"/>
      <c r="H2" s="105"/>
      <c r="I2" s="106"/>
    </row>
    <row r="3" spans="1:21" ht="16.5" customHeight="1" x14ac:dyDescent="0.3">
      <c r="A3" s="107"/>
      <c r="B3" s="108"/>
      <c r="C3" s="108"/>
      <c r="D3" s="108"/>
      <c r="E3" s="108"/>
      <c r="F3" s="108"/>
      <c r="G3" s="108"/>
      <c r="H3" s="108"/>
      <c r="I3" s="109"/>
    </row>
    <row r="4" spans="1:21" ht="26.25" customHeight="1" x14ac:dyDescent="0.3">
      <c r="A4" s="3" t="s">
        <v>69</v>
      </c>
      <c r="B4" s="4"/>
      <c r="C4" s="149"/>
      <c r="D4" s="150"/>
      <c r="E4" s="195"/>
      <c r="F4" s="5" t="s">
        <v>68</v>
      </c>
      <c r="G4" s="6"/>
      <c r="H4" s="7"/>
      <c r="I4" s="8"/>
      <c r="K4" s="1" t="s">
        <v>37</v>
      </c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6.25" customHeight="1" x14ac:dyDescent="0.3">
      <c r="A5" s="3" t="s">
        <v>1</v>
      </c>
      <c r="B5" s="4"/>
      <c r="C5" s="149"/>
      <c r="D5" s="150"/>
      <c r="E5" s="195"/>
      <c r="F5" s="9" t="s">
        <v>56</v>
      </c>
      <c r="G5" s="10"/>
      <c r="H5" s="11"/>
      <c r="I5" s="12" t="s">
        <v>63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6.25" customHeight="1" x14ac:dyDescent="0.3">
      <c r="A6" s="3" t="s">
        <v>2</v>
      </c>
      <c r="B6" s="4"/>
      <c r="C6" s="143"/>
      <c r="D6" s="144"/>
      <c r="E6" s="13" t="s">
        <v>3</v>
      </c>
      <c r="F6" s="14" t="s">
        <v>58</v>
      </c>
      <c r="G6" s="15"/>
      <c r="H6" s="16"/>
      <c r="I6" s="17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6.25" customHeight="1" x14ac:dyDescent="0.3">
      <c r="A7" s="3" t="s">
        <v>5</v>
      </c>
      <c r="B7" s="4"/>
      <c r="C7" s="143"/>
      <c r="D7" s="144"/>
      <c r="E7" s="13" t="s">
        <v>3</v>
      </c>
      <c r="F7" s="14" t="s">
        <v>59</v>
      </c>
      <c r="G7" s="18"/>
      <c r="H7" s="19"/>
      <c r="I7" s="20"/>
      <c r="K7" s="1" t="s">
        <v>35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6.25" customHeight="1" x14ac:dyDescent="0.3">
      <c r="A8" s="3" t="s">
        <v>6</v>
      </c>
      <c r="B8" s="4"/>
      <c r="C8" s="145">
        <f>I17+I20+I23+I26+I29+I32</f>
        <v>0</v>
      </c>
      <c r="D8" s="146"/>
      <c r="E8" s="21" t="s">
        <v>3</v>
      </c>
      <c r="F8" s="22" t="s">
        <v>66</v>
      </c>
      <c r="G8" s="23" t="s">
        <v>60</v>
      </c>
      <c r="H8" s="24"/>
      <c r="I8" s="25" t="s">
        <v>65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6.25" customHeight="1" x14ac:dyDescent="0.3">
      <c r="A9" s="26" t="s">
        <v>7</v>
      </c>
      <c r="B9" s="27"/>
      <c r="C9" s="147">
        <f>C6-C7-C8</f>
        <v>0</v>
      </c>
      <c r="D9" s="148"/>
      <c r="E9" s="13" t="s">
        <v>3</v>
      </c>
      <c r="F9" s="28"/>
      <c r="G9" s="29" t="s">
        <v>52</v>
      </c>
      <c r="H9" s="30"/>
      <c r="I9" s="25" t="s">
        <v>65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6.25" customHeight="1" x14ac:dyDescent="0.3">
      <c r="A10" s="3" t="s">
        <v>8</v>
      </c>
      <c r="B10" s="4"/>
      <c r="C10" s="145">
        <f>I18+I21+I24+I27+I30+I33</f>
        <v>0</v>
      </c>
      <c r="D10" s="146"/>
      <c r="E10" s="13" t="s">
        <v>3</v>
      </c>
      <c r="F10" s="28"/>
      <c r="G10" s="29" t="s">
        <v>53</v>
      </c>
      <c r="H10" s="30"/>
      <c r="I10" s="25" t="s">
        <v>65</v>
      </c>
      <c r="K10" s="1" t="s">
        <v>36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6.25" customHeight="1" x14ac:dyDescent="0.3">
      <c r="A11" s="3" t="s">
        <v>9</v>
      </c>
      <c r="B11" s="4"/>
      <c r="C11" s="145">
        <f>(C7*G13)/12</f>
        <v>0</v>
      </c>
      <c r="D11" s="146"/>
      <c r="E11" s="13" t="s">
        <v>3</v>
      </c>
      <c r="F11" s="28"/>
      <c r="G11" s="29" t="s">
        <v>54</v>
      </c>
      <c r="H11" s="30"/>
      <c r="I11" s="25" t="s">
        <v>65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6.25" customHeight="1" x14ac:dyDescent="0.3">
      <c r="A12" s="3" t="s">
        <v>10</v>
      </c>
      <c r="B12" s="4"/>
      <c r="C12" s="147">
        <f>C10-C11</f>
        <v>0</v>
      </c>
      <c r="D12" s="148"/>
      <c r="E12" s="13" t="s">
        <v>3</v>
      </c>
      <c r="F12" s="31"/>
      <c r="G12" s="29" t="s">
        <v>55</v>
      </c>
      <c r="H12" s="30"/>
      <c r="I12" s="25" t="s">
        <v>65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7.75" x14ac:dyDescent="0.3">
      <c r="A13" s="26" t="s">
        <v>11</v>
      </c>
      <c r="B13" s="27"/>
      <c r="C13" s="147">
        <f>C12*12</f>
        <v>0</v>
      </c>
      <c r="D13" s="148"/>
      <c r="E13" s="13" t="s">
        <v>3</v>
      </c>
      <c r="F13" s="33" t="s">
        <v>12</v>
      </c>
      <c r="G13" s="34">
        <v>3.7999999999999999E-2</v>
      </c>
      <c r="H13" s="35" t="s">
        <v>13</v>
      </c>
      <c r="I13" s="111" t="e">
        <f>C12*12/C9</f>
        <v>#DIV/0!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36" x14ac:dyDescent="0.3">
      <c r="A14" s="37" t="s">
        <v>14</v>
      </c>
      <c r="B14" s="38"/>
      <c r="C14" s="38"/>
      <c r="D14" s="38"/>
      <c r="E14" s="38"/>
      <c r="F14" s="38"/>
      <c r="G14" s="38"/>
      <c r="H14" s="38"/>
      <c r="I14" s="39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4.95" customHeight="1" thickBot="1" x14ac:dyDescent="0.35">
      <c r="A15" s="40" t="s">
        <v>15</v>
      </c>
      <c r="B15" s="41"/>
      <c r="C15" s="42" t="s">
        <v>16</v>
      </c>
      <c r="D15" s="43" t="s">
        <v>17</v>
      </c>
      <c r="E15" s="44" t="s">
        <v>18</v>
      </c>
      <c r="F15" s="44" t="s">
        <v>19</v>
      </c>
      <c r="G15" s="45" t="s">
        <v>20</v>
      </c>
      <c r="H15" s="44" t="s">
        <v>21</v>
      </c>
      <c r="I15" s="46" t="s">
        <v>22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4.95" customHeight="1" thickTop="1" x14ac:dyDescent="0.3">
      <c r="A16" s="47" t="s">
        <v>23</v>
      </c>
      <c r="B16" s="48" t="s">
        <v>4</v>
      </c>
      <c r="C16" s="180"/>
      <c r="D16" s="113"/>
      <c r="E16" s="112"/>
      <c r="F16" s="113"/>
      <c r="G16" s="112"/>
      <c r="H16" s="113"/>
      <c r="I16" s="53"/>
    </row>
    <row r="17" spans="1:9" ht="24.95" customHeight="1" x14ac:dyDescent="0.3">
      <c r="A17" s="54"/>
      <c r="B17" s="55" t="s">
        <v>24</v>
      </c>
      <c r="C17" s="181"/>
      <c r="D17" s="118"/>
      <c r="E17" s="117"/>
      <c r="F17" s="118"/>
      <c r="G17" s="117"/>
      <c r="H17" s="118"/>
      <c r="I17" s="60">
        <f>H17+G17+F17+E17+D17+C17</f>
        <v>0</v>
      </c>
    </row>
    <row r="18" spans="1:9" ht="24.95" customHeight="1" thickBot="1" x14ac:dyDescent="0.35">
      <c r="A18" s="61"/>
      <c r="B18" s="62" t="s">
        <v>25</v>
      </c>
      <c r="C18" s="182"/>
      <c r="D18" s="123"/>
      <c r="E18" s="122"/>
      <c r="F18" s="123"/>
      <c r="G18" s="122"/>
      <c r="H18" s="123"/>
      <c r="I18" s="66">
        <f>H18+G18+F18+E18+D18+C18</f>
        <v>0</v>
      </c>
    </row>
    <row r="19" spans="1:9" ht="24.95" customHeight="1" thickTop="1" x14ac:dyDescent="0.3">
      <c r="A19" s="47" t="s">
        <v>26</v>
      </c>
      <c r="B19" s="67" t="s">
        <v>4</v>
      </c>
      <c r="C19" s="49"/>
      <c r="D19" s="127"/>
      <c r="E19" s="127"/>
      <c r="F19" s="127"/>
      <c r="G19" s="127"/>
      <c r="H19" s="128"/>
      <c r="I19" s="129"/>
    </row>
    <row r="20" spans="1:9" ht="24.95" customHeight="1" x14ac:dyDescent="0.3">
      <c r="A20" s="54"/>
      <c r="B20" s="55" t="s">
        <v>24</v>
      </c>
      <c r="C20" s="56"/>
      <c r="D20" s="56"/>
      <c r="E20" s="73"/>
      <c r="F20" s="58"/>
      <c r="G20" s="58"/>
      <c r="H20" s="74"/>
      <c r="I20" s="75">
        <f>H20+G20+F20+E20+D20+C20</f>
        <v>0</v>
      </c>
    </row>
    <row r="21" spans="1:9" ht="24.95" customHeight="1" thickBot="1" x14ac:dyDescent="0.35">
      <c r="A21" s="61"/>
      <c r="B21" s="62" t="s">
        <v>25</v>
      </c>
      <c r="C21" s="63"/>
      <c r="D21" s="63"/>
      <c r="E21" s="77"/>
      <c r="F21" s="64"/>
      <c r="G21" s="64"/>
      <c r="H21" s="64"/>
      <c r="I21" s="78">
        <f>H21+G21+F21+E21+D21+C21</f>
        <v>0</v>
      </c>
    </row>
    <row r="22" spans="1:9" ht="24.95" customHeight="1" thickTop="1" x14ac:dyDescent="0.3">
      <c r="A22" s="47" t="s">
        <v>29</v>
      </c>
      <c r="B22" s="67" t="s">
        <v>4</v>
      </c>
      <c r="C22" s="49"/>
      <c r="D22" s="127"/>
      <c r="E22" s="50"/>
      <c r="F22" s="127"/>
      <c r="G22" s="127"/>
      <c r="H22" s="128"/>
      <c r="I22" s="53"/>
    </row>
    <row r="23" spans="1:9" ht="24.95" customHeight="1" x14ac:dyDescent="0.3">
      <c r="A23" s="54"/>
      <c r="B23" s="55" t="s">
        <v>24</v>
      </c>
      <c r="C23" s="56"/>
      <c r="D23" s="58"/>
      <c r="E23" s="57"/>
      <c r="F23" s="58"/>
      <c r="G23" s="58"/>
      <c r="H23" s="74"/>
      <c r="I23" s="75">
        <f>H23+G23+F23+E23+D23+C23</f>
        <v>0</v>
      </c>
    </row>
    <row r="24" spans="1:9" ht="24.95" customHeight="1" thickBot="1" x14ac:dyDescent="0.35">
      <c r="A24" s="61"/>
      <c r="B24" s="62" t="s">
        <v>25</v>
      </c>
      <c r="C24" s="63"/>
      <c r="D24" s="64"/>
      <c r="E24" s="77"/>
      <c r="F24" s="64"/>
      <c r="G24" s="64"/>
      <c r="H24" s="65"/>
      <c r="I24" s="130">
        <f>H24+G24+F24+E24+D24+C24</f>
        <v>0</v>
      </c>
    </row>
    <row r="25" spans="1:9" ht="24.95" customHeight="1" thickTop="1" x14ac:dyDescent="0.3">
      <c r="A25" s="47" t="s">
        <v>31</v>
      </c>
      <c r="B25" s="67" t="s">
        <v>4</v>
      </c>
      <c r="C25" s="49"/>
      <c r="D25" s="49"/>
      <c r="E25" s="50"/>
      <c r="F25" s="127"/>
      <c r="G25" s="131"/>
      <c r="H25" s="131"/>
      <c r="I25" s="132"/>
    </row>
    <row r="26" spans="1:9" ht="24.95" customHeight="1" x14ac:dyDescent="0.3">
      <c r="A26" s="54"/>
      <c r="B26" s="55" t="s">
        <v>24</v>
      </c>
      <c r="C26" s="56"/>
      <c r="D26" s="56"/>
      <c r="E26" s="57"/>
      <c r="F26" s="58"/>
      <c r="G26" s="58"/>
      <c r="H26" s="58"/>
      <c r="I26" s="133">
        <f>H26+G26+F26+E26+D26+C26</f>
        <v>0</v>
      </c>
    </row>
    <row r="27" spans="1:9" ht="24.95" customHeight="1" thickBot="1" x14ac:dyDescent="0.35">
      <c r="A27" s="61"/>
      <c r="B27" s="62" t="s">
        <v>25</v>
      </c>
      <c r="C27" s="63"/>
      <c r="D27" s="63"/>
      <c r="E27" s="77"/>
      <c r="F27" s="64"/>
      <c r="G27" s="64"/>
      <c r="H27" s="64"/>
      <c r="I27" s="78">
        <f>H27+G27+F27+E27+D27+C27</f>
        <v>0</v>
      </c>
    </row>
    <row r="28" spans="1:9" ht="24.95" customHeight="1" thickTop="1" x14ac:dyDescent="0.3">
      <c r="A28" s="47" t="s">
        <v>32</v>
      </c>
      <c r="B28" s="67" t="s">
        <v>4</v>
      </c>
      <c r="C28" s="49"/>
      <c r="D28" s="49"/>
      <c r="E28" s="50"/>
      <c r="F28" s="127"/>
      <c r="G28" s="127"/>
      <c r="H28" s="127"/>
      <c r="I28" s="134"/>
    </row>
    <row r="29" spans="1:9" ht="24.95" customHeight="1" x14ac:dyDescent="0.3">
      <c r="A29" s="54"/>
      <c r="B29" s="55" t="s">
        <v>24</v>
      </c>
      <c r="C29" s="56"/>
      <c r="D29" s="56"/>
      <c r="E29" s="57"/>
      <c r="F29" s="58"/>
      <c r="G29" s="58"/>
      <c r="H29" s="58"/>
      <c r="I29" s="135">
        <f>H29+G29+F29+E29+D29+C29</f>
        <v>0</v>
      </c>
    </row>
    <row r="30" spans="1:9" ht="24.95" customHeight="1" thickBot="1" x14ac:dyDescent="0.35">
      <c r="A30" s="61"/>
      <c r="B30" s="62" t="s">
        <v>25</v>
      </c>
      <c r="C30" s="63"/>
      <c r="D30" s="63"/>
      <c r="E30" s="77"/>
      <c r="F30" s="64"/>
      <c r="G30" s="64"/>
      <c r="H30" s="64"/>
      <c r="I30" s="78">
        <f>H30+G30+F30+E30+D30+C30</f>
        <v>0</v>
      </c>
    </row>
    <row r="31" spans="1:9" ht="24.95" customHeight="1" thickTop="1" x14ac:dyDescent="0.3">
      <c r="A31" s="47" t="s">
        <v>33</v>
      </c>
      <c r="B31" s="67" t="s">
        <v>4</v>
      </c>
      <c r="C31" s="49"/>
      <c r="D31" s="127"/>
      <c r="E31" s="127"/>
      <c r="F31" s="127"/>
      <c r="G31" s="127"/>
      <c r="H31" s="127"/>
      <c r="I31" s="136"/>
    </row>
    <row r="32" spans="1:9" ht="24.95" customHeight="1" x14ac:dyDescent="0.3">
      <c r="A32" s="54"/>
      <c r="B32" s="55" t="s">
        <v>24</v>
      </c>
      <c r="C32" s="56"/>
      <c r="D32" s="58"/>
      <c r="E32" s="58"/>
      <c r="F32" s="58"/>
      <c r="G32" s="58"/>
      <c r="H32" s="58"/>
      <c r="I32" s="135">
        <f>H32+G32+F32+E32+D32+C32</f>
        <v>0</v>
      </c>
    </row>
    <row r="33" spans="1:9" ht="30" customHeight="1" thickBot="1" x14ac:dyDescent="0.35">
      <c r="A33" s="61"/>
      <c r="B33" s="62" t="s">
        <v>25</v>
      </c>
      <c r="C33" s="63"/>
      <c r="D33" s="64"/>
      <c r="E33" s="64"/>
      <c r="F33" s="64"/>
      <c r="G33" s="64"/>
      <c r="H33" s="64"/>
      <c r="I33" s="78">
        <f>H33+G33+F33+E33+D33+C33</f>
        <v>0</v>
      </c>
    </row>
    <row r="34" spans="1:9" ht="30" customHeight="1" thickTop="1" x14ac:dyDescent="0.3">
      <c r="A34" s="173" t="s">
        <v>51</v>
      </c>
      <c r="B34" s="174"/>
      <c r="C34" s="175"/>
      <c r="D34" s="176"/>
      <c r="E34" s="176"/>
      <c r="F34" s="176"/>
      <c r="G34" s="176"/>
      <c r="H34" s="176"/>
      <c r="I34" s="177"/>
    </row>
    <row r="35" spans="1:9" ht="30" customHeight="1" x14ac:dyDescent="0.3">
      <c r="A35" s="199" t="s">
        <v>50</v>
      </c>
      <c r="B35" s="200"/>
      <c r="C35" s="203"/>
      <c r="D35" s="203"/>
      <c r="E35" s="203"/>
      <c r="F35" s="203"/>
      <c r="G35" s="203"/>
      <c r="H35" s="203"/>
      <c r="I35" s="204"/>
    </row>
    <row r="36" spans="1:9" ht="30" customHeight="1" x14ac:dyDescent="0.3">
      <c r="A36" s="201"/>
      <c r="B36" s="202"/>
      <c r="C36" s="205"/>
      <c r="D36" s="205"/>
      <c r="E36" s="205"/>
      <c r="F36" s="205"/>
      <c r="G36" s="205"/>
      <c r="H36" s="205"/>
      <c r="I36" s="206"/>
    </row>
    <row r="37" spans="1:9" ht="30" customHeight="1" x14ac:dyDescent="0.3">
      <c r="A37" s="170" t="s">
        <v>70</v>
      </c>
      <c r="B37" s="171"/>
      <c r="C37" s="171"/>
      <c r="D37" s="171"/>
      <c r="E37" s="171"/>
      <c r="F37" s="171"/>
      <c r="G37" s="171"/>
      <c r="H37" s="171"/>
      <c r="I37" s="172"/>
    </row>
    <row r="38" spans="1:9" ht="48" customHeight="1" thickBot="1" x14ac:dyDescent="0.35">
      <c r="A38" s="196" t="s">
        <v>71</v>
      </c>
      <c r="B38" s="197"/>
      <c r="C38" s="198"/>
      <c r="D38" s="161" t="s">
        <v>34</v>
      </c>
      <c r="E38" s="162"/>
      <c r="F38" s="162"/>
      <c r="G38" s="162"/>
      <c r="H38" s="162"/>
      <c r="I38" s="163"/>
    </row>
    <row r="39" spans="1:9" ht="21.75" x14ac:dyDescent="0.3">
      <c r="A39" s="178"/>
      <c r="B39" s="179"/>
      <c r="C39" s="179"/>
      <c r="D39" s="179"/>
      <c r="E39" s="179"/>
      <c r="F39" s="179"/>
      <c r="G39" s="179"/>
      <c r="H39" s="179"/>
      <c r="I39" s="179"/>
    </row>
  </sheetData>
  <mergeCells count="51">
    <mergeCell ref="A37:I37"/>
    <mergeCell ref="A38:C38"/>
    <mergeCell ref="D38:I38"/>
    <mergeCell ref="A35:B36"/>
    <mergeCell ref="C36:I36"/>
    <mergeCell ref="A12:B12"/>
    <mergeCell ref="C12:D12"/>
    <mergeCell ref="G18:H18"/>
    <mergeCell ref="A28:A30"/>
    <mergeCell ref="A25:A27"/>
    <mergeCell ref="G16:H16"/>
    <mergeCell ref="A13:B13"/>
    <mergeCell ref="C13:D13"/>
    <mergeCell ref="G17:H17"/>
    <mergeCell ref="C7:D7"/>
    <mergeCell ref="G7:I7"/>
    <mergeCell ref="A8:B8"/>
    <mergeCell ref="C8:D8"/>
    <mergeCell ref="A14:I14"/>
    <mergeCell ref="C11:D11"/>
    <mergeCell ref="A7:B7"/>
    <mergeCell ref="F8:F12"/>
    <mergeCell ref="A9:B9"/>
    <mergeCell ref="C9:D9"/>
    <mergeCell ref="A10:B10"/>
    <mergeCell ref="C10:D10"/>
    <mergeCell ref="A11:B11"/>
    <mergeCell ref="A15:B15"/>
    <mergeCell ref="A16:A18"/>
    <mergeCell ref="C16:D16"/>
    <mergeCell ref="C34:I34"/>
    <mergeCell ref="C35:I35"/>
    <mergeCell ref="A19:A21"/>
    <mergeCell ref="A22:A24"/>
    <mergeCell ref="E16:F16"/>
    <mergeCell ref="C17:D17"/>
    <mergeCell ref="E17:F17"/>
    <mergeCell ref="C18:D18"/>
    <mergeCell ref="E18:F18"/>
    <mergeCell ref="A31:A33"/>
    <mergeCell ref="A34:B34"/>
    <mergeCell ref="A1:I3"/>
    <mergeCell ref="A5:B5"/>
    <mergeCell ref="A6:B6"/>
    <mergeCell ref="C6:D6"/>
    <mergeCell ref="G6:I6"/>
    <mergeCell ref="A4:B4"/>
    <mergeCell ref="C4:E4"/>
    <mergeCell ref="G4:I4"/>
    <mergeCell ref="C5:E5"/>
    <mergeCell ref="G5:H5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0" orientation="portrait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8"/>
  <sheetViews>
    <sheetView zoomScale="70" zoomScaleNormal="70" workbookViewId="0">
      <selection activeCell="C4" sqref="C4:E4"/>
    </sheetView>
  </sheetViews>
  <sheetFormatPr defaultRowHeight="16.5" x14ac:dyDescent="0.3"/>
  <cols>
    <col min="1" max="8" width="11.125" customWidth="1"/>
    <col min="9" max="9" width="15.125" customWidth="1"/>
  </cols>
  <sheetData>
    <row r="1" spans="1:21" ht="16.5" customHeight="1" x14ac:dyDescent="0.3">
      <c r="A1" s="101" t="s">
        <v>0</v>
      </c>
      <c r="B1" s="102"/>
      <c r="C1" s="102"/>
      <c r="D1" s="102"/>
      <c r="E1" s="102"/>
      <c r="F1" s="102"/>
      <c r="G1" s="102"/>
      <c r="H1" s="102"/>
      <c r="I1" s="103"/>
    </row>
    <row r="2" spans="1:21" ht="16.5" customHeight="1" x14ac:dyDescent="0.3">
      <c r="A2" s="104"/>
      <c r="B2" s="105"/>
      <c r="C2" s="105"/>
      <c r="D2" s="105"/>
      <c r="E2" s="105"/>
      <c r="F2" s="105"/>
      <c r="G2" s="105"/>
      <c r="H2" s="105"/>
      <c r="I2" s="106"/>
    </row>
    <row r="3" spans="1:21" ht="16.5" customHeight="1" x14ac:dyDescent="0.3">
      <c r="A3" s="107"/>
      <c r="B3" s="108"/>
      <c r="C3" s="108"/>
      <c r="D3" s="108"/>
      <c r="E3" s="108"/>
      <c r="F3" s="108"/>
      <c r="G3" s="108"/>
      <c r="H3" s="108"/>
      <c r="I3" s="109"/>
    </row>
    <row r="4" spans="1:21" ht="26.25" customHeight="1" x14ac:dyDescent="0.3">
      <c r="A4" s="3" t="s">
        <v>69</v>
      </c>
      <c r="B4" s="4"/>
      <c r="C4" s="149"/>
      <c r="D4" s="150"/>
      <c r="E4" s="195"/>
      <c r="F4" s="5" t="s">
        <v>68</v>
      </c>
      <c r="G4" s="6"/>
      <c r="H4" s="7"/>
      <c r="I4" s="8"/>
      <c r="K4" s="1" t="s">
        <v>37</v>
      </c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6.25" customHeight="1" x14ac:dyDescent="0.3">
      <c r="A5" s="3" t="s">
        <v>1</v>
      </c>
      <c r="B5" s="4"/>
      <c r="C5" s="149"/>
      <c r="D5" s="150"/>
      <c r="E5" s="195"/>
      <c r="F5" s="9" t="s">
        <v>56</v>
      </c>
      <c r="G5" s="10"/>
      <c r="H5" s="11"/>
      <c r="I5" s="12" t="s">
        <v>62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6.25" customHeight="1" x14ac:dyDescent="0.3">
      <c r="A6" s="3" t="s">
        <v>2</v>
      </c>
      <c r="B6" s="4"/>
      <c r="C6" s="143"/>
      <c r="D6" s="144"/>
      <c r="E6" s="13" t="s">
        <v>3</v>
      </c>
      <c r="F6" s="14" t="s">
        <v>58</v>
      </c>
      <c r="G6" s="15"/>
      <c r="H6" s="16"/>
      <c r="I6" s="17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6.25" customHeight="1" x14ac:dyDescent="0.3">
      <c r="A7" s="3" t="s">
        <v>5</v>
      </c>
      <c r="B7" s="4"/>
      <c r="C7" s="143"/>
      <c r="D7" s="144"/>
      <c r="E7" s="13" t="s">
        <v>3</v>
      </c>
      <c r="F7" s="14" t="s">
        <v>59</v>
      </c>
      <c r="G7" s="18"/>
      <c r="H7" s="19"/>
      <c r="I7" s="20"/>
      <c r="K7" s="1" t="s">
        <v>35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6.25" customHeight="1" x14ac:dyDescent="0.3">
      <c r="A8" s="3" t="s">
        <v>6</v>
      </c>
      <c r="B8" s="4"/>
      <c r="C8" s="145">
        <f>I17+I20+I23+I26+I29+I32</f>
        <v>0</v>
      </c>
      <c r="D8" s="146"/>
      <c r="E8" s="21" t="s">
        <v>3</v>
      </c>
      <c r="F8" s="22" t="s">
        <v>66</v>
      </c>
      <c r="G8" s="23" t="s">
        <v>60</v>
      </c>
      <c r="H8" s="24"/>
      <c r="I8" s="25" t="s">
        <v>65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6.25" customHeight="1" x14ac:dyDescent="0.3">
      <c r="A9" s="26" t="s">
        <v>7</v>
      </c>
      <c r="B9" s="27"/>
      <c r="C9" s="147">
        <f>C6-C7-C8</f>
        <v>0</v>
      </c>
      <c r="D9" s="148"/>
      <c r="E9" s="13" t="s">
        <v>3</v>
      </c>
      <c r="F9" s="28"/>
      <c r="G9" s="29" t="s">
        <v>52</v>
      </c>
      <c r="H9" s="30"/>
      <c r="I9" s="25" t="s">
        <v>65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6.25" customHeight="1" x14ac:dyDescent="0.3">
      <c r="A10" s="3" t="s">
        <v>8</v>
      </c>
      <c r="B10" s="4"/>
      <c r="C10" s="145">
        <f>I18+I21+I24+I27+I30+I33</f>
        <v>0</v>
      </c>
      <c r="D10" s="146"/>
      <c r="E10" s="13" t="s">
        <v>3</v>
      </c>
      <c r="F10" s="28"/>
      <c r="G10" s="29" t="s">
        <v>53</v>
      </c>
      <c r="H10" s="30"/>
      <c r="I10" s="25" t="s">
        <v>65</v>
      </c>
      <c r="K10" s="1" t="s">
        <v>36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6.25" customHeight="1" x14ac:dyDescent="0.3">
      <c r="A11" s="3" t="s">
        <v>9</v>
      </c>
      <c r="B11" s="4"/>
      <c r="C11" s="145">
        <f>(C7*G13)/12</f>
        <v>0</v>
      </c>
      <c r="D11" s="146"/>
      <c r="E11" s="13" t="s">
        <v>3</v>
      </c>
      <c r="F11" s="28"/>
      <c r="G11" s="29" t="s">
        <v>54</v>
      </c>
      <c r="H11" s="30"/>
      <c r="I11" s="25" t="s">
        <v>65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6.25" customHeight="1" x14ac:dyDescent="0.3">
      <c r="A12" s="3" t="s">
        <v>10</v>
      </c>
      <c r="B12" s="4"/>
      <c r="C12" s="147">
        <f>C10-C11</f>
        <v>0</v>
      </c>
      <c r="D12" s="148"/>
      <c r="E12" s="13" t="s">
        <v>3</v>
      </c>
      <c r="F12" s="31"/>
      <c r="G12" s="29" t="s">
        <v>55</v>
      </c>
      <c r="H12" s="30"/>
      <c r="I12" s="25" t="s">
        <v>65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7.75" x14ac:dyDescent="0.3">
      <c r="A13" s="26" t="s">
        <v>11</v>
      </c>
      <c r="B13" s="27"/>
      <c r="C13" s="147">
        <f>C12*12</f>
        <v>0</v>
      </c>
      <c r="D13" s="148"/>
      <c r="E13" s="13" t="s">
        <v>3</v>
      </c>
      <c r="F13" s="33" t="s">
        <v>12</v>
      </c>
      <c r="G13" s="34">
        <v>3.7999999999999999E-2</v>
      </c>
      <c r="H13" s="35" t="s">
        <v>13</v>
      </c>
      <c r="I13" s="111" t="e">
        <f>C12*12/C9</f>
        <v>#DIV/0!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36" x14ac:dyDescent="0.3">
      <c r="A14" s="37" t="s">
        <v>14</v>
      </c>
      <c r="B14" s="38"/>
      <c r="C14" s="38"/>
      <c r="D14" s="38"/>
      <c r="E14" s="38"/>
      <c r="F14" s="38"/>
      <c r="G14" s="38"/>
      <c r="H14" s="38"/>
      <c r="I14" s="39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4.95" customHeight="1" thickBot="1" x14ac:dyDescent="0.35">
      <c r="A15" s="40" t="s">
        <v>15</v>
      </c>
      <c r="B15" s="41"/>
      <c r="C15" s="42" t="s">
        <v>16</v>
      </c>
      <c r="D15" s="43" t="s">
        <v>17</v>
      </c>
      <c r="E15" s="44" t="s">
        <v>18</v>
      </c>
      <c r="F15" s="44" t="s">
        <v>19</v>
      </c>
      <c r="G15" s="45" t="s">
        <v>20</v>
      </c>
      <c r="H15" s="44" t="s">
        <v>21</v>
      </c>
      <c r="I15" s="46" t="s">
        <v>22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4.95" customHeight="1" thickTop="1" x14ac:dyDescent="0.3">
      <c r="A16" s="47" t="s">
        <v>23</v>
      </c>
      <c r="B16" s="48" t="s">
        <v>4</v>
      </c>
      <c r="C16" s="180"/>
      <c r="D16" s="113"/>
      <c r="E16" s="114" t="s">
        <v>61</v>
      </c>
      <c r="F16" s="115"/>
      <c r="G16" s="115"/>
      <c r="H16" s="116"/>
      <c r="I16" s="53"/>
    </row>
    <row r="17" spans="1:9" ht="24.95" customHeight="1" x14ac:dyDescent="0.3">
      <c r="A17" s="54"/>
      <c r="B17" s="55" t="s">
        <v>24</v>
      </c>
      <c r="C17" s="181"/>
      <c r="D17" s="118"/>
      <c r="E17" s="119"/>
      <c r="F17" s="120"/>
      <c r="G17" s="120"/>
      <c r="H17" s="121"/>
      <c r="I17" s="60">
        <f>H17+G17+F17+E17+D17+C17</f>
        <v>0</v>
      </c>
    </row>
    <row r="18" spans="1:9" ht="24.95" customHeight="1" thickBot="1" x14ac:dyDescent="0.35">
      <c r="A18" s="61"/>
      <c r="B18" s="62" t="s">
        <v>25</v>
      </c>
      <c r="C18" s="182"/>
      <c r="D18" s="123"/>
      <c r="E18" s="124"/>
      <c r="F18" s="125"/>
      <c r="G18" s="125"/>
      <c r="H18" s="126"/>
      <c r="I18" s="66">
        <f>H18+G18+F18+E18+D18+C18</f>
        <v>0</v>
      </c>
    </row>
    <row r="19" spans="1:9" ht="24.95" customHeight="1" thickTop="1" x14ac:dyDescent="0.3">
      <c r="A19" s="47" t="s">
        <v>26</v>
      </c>
      <c r="B19" s="67" t="s">
        <v>4</v>
      </c>
      <c r="C19" s="180"/>
      <c r="D19" s="113"/>
      <c r="E19" s="127"/>
      <c r="F19" s="127"/>
      <c r="G19" s="127"/>
      <c r="H19" s="128"/>
      <c r="I19" s="129"/>
    </row>
    <row r="20" spans="1:9" ht="24.95" customHeight="1" x14ac:dyDescent="0.3">
      <c r="A20" s="54"/>
      <c r="B20" s="55" t="s">
        <v>24</v>
      </c>
      <c r="C20" s="181"/>
      <c r="D20" s="118"/>
      <c r="E20" s="73"/>
      <c r="F20" s="58"/>
      <c r="G20" s="58"/>
      <c r="H20" s="74"/>
      <c r="I20" s="75">
        <f>H20+G20+F20+E20+D20+C20</f>
        <v>0</v>
      </c>
    </row>
    <row r="21" spans="1:9" ht="24.95" customHeight="1" thickBot="1" x14ac:dyDescent="0.35">
      <c r="A21" s="61"/>
      <c r="B21" s="62" t="s">
        <v>25</v>
      </c>
      <c r="C21" s="182"/>
      <c r="D21" s="123"/>
      <c r="E21" s="77"/>
      <c r="F21" s="64"/>
      <c r="G21" s="64"/>
      <c r="H21" s="64"/>
      <c r="I21" s="78">
        <f>H21+G21+F21+E21+D21+C21</f>
        <v>0</v>
      </c>
    </row>
    <row r="22" spans="1:9" ht="24.95" customHeight="1" thickTop="1" x14ac:dyDescent="0.3">
      <c r="A22" s="47" t="s">
        <v>29</v>
      </c>
      <c r="B22" s="67" t="s">
        <v>4</v>
      </c>
      <c r="C22" s="49"/>
      <c r="D22" s="127"/>
      <c r="E22" s="50"/>
      <c r="F22" s="127"/>
      <c r="G22" s="127"/>
      <c r="H22" s="128"/>
      <c r="I22" s="53"/>
    </row>
    <row r="23" spans="1:9" ht="24.95" customHeight="1" x14ac:dyDescent="0.3">
      <c r="A23" s="54"/>
      <c r="B23" s="55" t="s">
        <v>24</v>
      </c>
      <c r="C23" s="56"/>
      <c r="D23" s="58"/>
      <c r="E23" s="57"/>
      <c r="F23" s="58"/>
      <c r="G23" s="58"/>
      <c r="H23" s="74"/>
      <c r="I23" s="75">
        <f>H23+G23+F23+E23+D23+C23</f>
        <v>0</v>
      </c>
    </row>
    <row r="24" spans="1:9" ht="24.95" customHeight="1" thickBot="1" x14ac:dyDescent="0.35">
      <c r="A24" s="61"/>
      <c r="B24" s="62" t="s">
        <v>25</v>
      </c>
      <c r="C24" s="63"/>
      <c r="D24" s="64"/>
      <c r="E24" s="77"/>
      <c r="F24" s="64"/>
      <c r="G24" s="64"/>
      <c r="H24" s="65"/>
      <c r="I24" s="130">
        <f>H24+G24+F24+E24+D24+C24</f>
        <v>0</v>
      </c>
    </row>
    <row r="25" spans="1:9" ht="24.95" customHeight="1" thickTop="1" x14ac:dyDescent="0.3">
      <c r="A25" s="47" t="s">
        <v>31</v>
      </c>
      <c r="B25" s="67" t="s">
        <v>4</v>
      </c>
      <c r="C25" s="49"/>
      <c r="D25" s="49"/>
      <c r="E25" s="50"/>
      <c r="F25" s="127"/>
      <c r="G25" s="131"/>
      <c r="H25" s="131"/>
      <c r="I25" s="132"/>
    </row>
    <row r="26" spans="1:9" ht="24.95" customHeight="1" x14ac:dyDescent="0.3">
      <c r="A26" s="54"/>
      <c r="B26" s="55" t="s">
        <v>24</v>
      </c>
      <c r="C26" s="56"/>
      <c r="D26" s="56"/>
      <c r="E26" s="57"/>
      <c r="F26" s="58"/>
      <c r="G26" s="58"/>
      <c r="H26" s="58"/>
      <c r="I26" s="133">
        <f>H26+G26+F26+E26+D26+C26</f>
        <v>0</v>
      </c>
    </row>
    <row r="27" spans="1:9" ht="24.95" customHeight="1" thickBot="1" x14ac:dyDescent="0.35">
      <c r="A27" s="61"/>
      <c r="B27" s="62" t="s">
        <v>25</v>
      </c>
      <c r="C27" s="63"/>
      <c r="D27" s="63"/>
      <c r="E27" s="77"/>
      <c r="F27" s="64"/>
      <c r="G27" s="64"/>
      <c r="H27" s="64"/>
      <c r="I27" s="78">
        <f>H27+G27+F27+E27+D27+C27</f>
        <v>0</v>
      </c>
    </row>
    <row r="28" spans="1:9" ht="24.95" customHeight="1" thickTop="1" x14ac:dyDescent="0.3">
      <c r="A28" s="47" t="s">
        <v>32</v>
      </c>
      <c r="B28" s="67" t="s">
        <v>4</v>
      </c>
      <c r="C28" s="49"/>
      <c r="D28" s="49"/>
      <c r="E28" s="50"/>
      <c r="F28" s="127"/>
      <c r="G28" s="127"/>
      <c r="H28" s="127"/>
      <c r="I28" s="134"/>
    </row>
    <row r="29" spans="1:9" ht="24.95" customHeight="1" x14ac:dyDescent="0.3">
      <c r="A29" s="54"/>
      <c r="B29" s="55" t="s">
        <v>24</v>
      </c>
      <c r="C29" s="56"/>
      <c r="D29" s="56"/>
      <c r="E29" s="57"/>
      <c r="F29" s="58"/>
      <c r="G29" s="58"/>
      <c r="H29" s="58"/>
      <c r="I29" s="135">
        <f>H29+G29+F29+E29+D29+C29</f>
        <v>0</v>
      </c>
    </row>
    <row r="30" spans="1:9" ht="24.95" customHeight="1" thickBot="1" x14ac:dyDescent="0.35">
      <c r="A30" s="61"/>
      <c r="B30" s="62" t="s">
        <v>25</v>
      </c>
      <c r="C30" s="63"/>
      <c r="D30" s="63"/>
      <c r="E30" s="77"/>
      <c r="F30" s="64"/>
      <c r="G30" s="64"/>
      <c r="H30" s="64"/>
      <c r="I30" s="78">
        <f>H30+G30+F30+E30+D30+C30</f>
        <v>0</v>
      </c>
    </row>
    <row r="31" spans="1:9" ht="24.95" customHeight="1" thickTop="1" x14ac:dyDescent="0.3">
      <c r="A31" s="47" t="s">
        <v>33</v>
      </c>
      <c r="B31" s="67" t="s">
        <v>4</v>
      </c>
      <c r="C31" s="49"/>
      <c r="D31" s="127"/>
      <c r="E31" s="127"/>
      <c r="F31" s="127"/>
      <c r="G31" s="127"/>
      <c r="H31" s="127"/>
      <c r="I31" s="136"/>
    </row>
    <row r="32" spans="1:9" ht="24.95" customHeight="1" x14ac:dyDescent="0.3">
      <c r="A32" s="54"/>
      <c r="B32" s="55" t="s">
        <v>24</v>
      </c>
      <c r="C32" s="56"/>
      <c r="D32" s="58"/>
      <c r="E32" s="58"/>
      <c r="F32" s="58"/>
      <c r="G32" s="58"/>
      <c r="H32" s="58"/>
      <c r="I32" s="135">
        <f>H32+G32+F32+E32+D32+C32</f>
        <v>0</v>
      </c>
    </row>
    <row r="33" spans="1:9" ht="30" customHeight="1" thickBot="1" x14ac:dyDescent="0.35">
      <c r="A33" s="61"/>
      <c r="B33" s="62" t="s">
        <v>25</v>
      </c>
      <c r="C33" s="63"/>
      <c r="D33" s="64"/>
      <c r="E33" s="64"/>
      <c r="F33" s="64"/>
      <c r="G33" s="64"/>
      <c r="H33" s="64"/>
      <c r="I33" s="78">
        <f>H33+G33+F33+E33+D33+C33</f>
        <v>0</v>
      </c>
    </row>
    <row r="34" spans="1:9" ht="30" customHeight="1" thickTop="1" x14ac:dyDescent="0.3">
      <c r="A34" s="173" t="s">
        <v>51</v>
      </c>
      <c r="B34" s="174"/>
      <c r="C34" s="175"/>
      <c r="D34" s="176"/>
      <c r="E34" s="176"/>
      <c r="F34" s="176"/>
      <c r="G34" s="176"/>
      <c r="H34" s="176"/>
      <c r="I34" s="177"/>
    </row>
    <row r="35" spans="1:9" ht="30" customHeight="1" x14ac:dyDescent="0.3">
      <c r="A35" s="199" t="s">
        <v>50</v>
      </c>
      <c r="B35" s="200"/>
      <c r="C35" s="203"/>
      <c r="D35" s="203"/>
      <c r="E35" s="203"/>
      <c r="F35" s="203"/>
      <c r="G35" s="203"/>
      <c r="H35" s="203"/>
      <c r="I35" s="204"/>
    </row>
    <row r="36" spans="1:9" ht="30" customHeight="1" x14ac:dyDescent="0.3">
      <c r="A36" s="201"/>
      <c r="B36" s="202"/>
      <c r="C36" s="205"/>
      <c r="D36" s="205"/>
      <c r="E36" s="205"/>
      <c r="F36" s="205"/>
      <c r="G36" s="205"/>
      <c r="H36" s="205"/>
      <c r="I36" s="206"/>
    </row>
    <row r="37" spans="1:9" ht="30" customHeight="1" x14ac:dyDescent="0.3">
      <c r="A37" s="170" t="s">
        <v>70</v>
      </c>
      <c r="B37" s="171"/>
      <c r="C37" s="171"/>
      <c r="D37" s="171"/>
      <c r="E37" s="171"/>
      <c r="F37" s="171"/>
      <c r="G37" s="171"/>
      <c r="H37" s="171"/>
      <c r="I37" s="172"/>
    </row>
    <row r="38" spans="1:9" ht="48" customHeight="1" thickBot="1" x14ac:dyDescent="0.35">
      <c r="A38" s="196" t="s">
        <v>71</v>
      </c>
      <c r="B38" s="197"/>
      <c r="C38" s="198"/>
      <c r="D38" s="161" t="s">
        <v>34</v>
      </c>
      <c r="E38" s="162"/>
      <c r="F38" s="162"/>
      <c r="G38" s="162"/>
      <c r="H38" s="162"/>
      <c r="I38" s="163"/>
    </row>
  </sheetData>
  <mergeCells count="49">
    <mergeCell ref="A38:C38"/>
    <mergeCell ref="D38:I38"/>
    <mergeCell ref="C21:D21"/>
    <mergeCell ref="A19:A21"/>
    <mergeCell ref="A22:A24"/>
    <mergeCell ref="A35:B36"/>
    <mergeCell ref="C36:I36"/>
    <mergeCell ref="C35:I35"/>
    <mergeCell ref="A37:I37"/>
    <mergeCell ref="A13:B13"/>
    <mergeCell ref="C13:D13"/>
    <mergeCell ref="A15:B15"/>
    <mergeCell ref="A16:A18"/>
    <mergeCell ref="A34:B34"/>
    <mergeCell ref="A31:A33"/>
    <mergeCell ref="C34:I34"/>
    <mergeCell ref="C16:D16"/>
    <mergeCell ref="A14:I14"/>
    <mergeCell ref="E16:H18"/>
    <mergeCell ref="C17:D17"/>
    <mergeCell ref="C18:D18"/>
    <mergeCell ref="A25:A27"/>
    <mergeCell ref="A28:A30"/>
    <mergeCell ref="C19:D19"/>
    <mergeCell ref="C20:D20"/>
    <mergeCell ref="A1:I3"/>
    <mergeCell ref="A5:B5"/>
    <mergeCell ref="A6:B6"/>
    <mergeCell ref="C6:D6"/>
    <mergeCell ref="G6:I6"/>
    <mergeCell ref="C5:E5"/>
    <mergeCell ref="G5:H5"/>
    <mergeCell ref="A4:B4"/>
    <mergeCell ref="C4:E4"/>
    <mergeCell ref="G4:I4"/>
    <mergeCell ref="A9:B9"/>
    <mergeCell ref="C9:D9"/>
    <mergeCell ref="A7:B7"/>
    <mergeCell ref="C7:D7"/>
    <mergeCell ref="G7:I7"/>
    <mergeCell ref="A8:B8"/>
    <mergeCell ref="C8:D8"/>
    <mergeCell ref="F8:F12"/>
    <mergeCell ref="A10:B10"/>
    <mergeCell ref="C10:D10"/>
    <mergeCell ref="A11:B11"/>
    <mergeCell ref="C11:D11"/>
    <mergeCell ref="A12:B12"/>
    <mergeCell ref="C12:D12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B064-9BA0-4A08-BF94-9927A8F9E10D}">
  <dimension ref="A1:X50"/>
  <sheetViews>
    <sheetView tabSelected="1" zoomScale="70" zoomScaleNormal="70" workbookViewId="0">
      <selection activeCell="C4" sqref="C4:H4"/>
    </sheetView>
  </sheetViews>
  <sheetFormatPr defaultRowHeight="16.5" x14ac:dyDescent="0.3"/>
  <cols>
    <col min="1" max="11" width="11.125" customWidth="1"/>
    <col min="12" max="12" width="15.125" customWidth="1"/>
  </cols>
  <sheetData>
    <row r="1" spans="1:24" ht="16.5" customHeight="1" x14ac:dyDescent="0.3">
      <c r="A1" s="101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3"/>
    </row>
    <row r="2" spans="1:24" ht="16.5" customHeight="1" x14ac:dyDescent="0.3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6"/>
    </row>
    <row r="3" spans="1:24" ht="16.5" customHeight="1" x14ac:dyDescent="0.3">
      <c r="A3" s="107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9"/>
    </row>
    <row r="4" spans="1:24" ht="30" customHeight="1" x14ac:dyDescent="0.3">
      <c r="A4" s="3" t="s">
        <v>69</v>
      </c>
      <c r="B4" s="4"/>
      <c r="C4" s="10"/>
      <c r="D4" s="209"/>
      <c r="E4" s="209"/>
      <c r="F4" s="209"/>
      <c r="G4" s="209"/>
      <c r="H4" s="11"/>
      <c r="I4" s="5" t="s">
        <v>68</v>
      </c>
      <c r="J4" s="6"/>
      <c r="K4" s="7"/>
      <c r="L4" s="8"/>
      <c r="N4" s="1" t="s">
        <v>37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0" customHeight="1" x14ac:dyDescent="0.3">
      <c r="A5" s="3" t="s">
        <v>1</v>
      </c>
      <c r="B5" s="4"/>
      <c r="C5" s="10"/>
      <c r="D5" s="209"/>
      <c r="E5" s="209"/>
      <c r="F5" s="209"/>
      <c r="G5" s="209"/>
      <c r="H5" s="11"/>
      <c r="I5" s="9" t="s">
        <v>56</v>
      </c>
      <c r="J5" s="210"/>
      <c r="K5" s="211"/>
      <c r="L5" s="12" t="s">
        <v>64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30" customHeight="1" x14ac:dyDescent="0.3">
      <c r="A6" s="3" t="s">
        <v>2</v>
      </c>
      <c r="B6" s="4"/>
      <c r="C6" s="212"/>
      <c r="D6" s="213"/>
      <c r="E6" s="213"/>
      <c r="F6" s="213"/>
      <c r="G6" s="214"/>
      <c r="H6" s="13" t="s">
        <v>3</v>
      </c>
      <c r="I6" s="14" t="s">
        <v>58</v>
      </c>
      <c r="J6" s="149"/>
      <c r="K6" s="150"/>
      <c r="L6" s="151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30" customHeight="1" x14ac:dyDescent="0.3">
      <c r="A7" s="3" t="s">
        <v>5</v>
      </c>
      <c r="B7" s="4"/>
      <c r="C7" s="212"/>
      <c r="D7" s="213"/>
      <c r="E7" s="213"/>
      <c r="F7" s="213"/>
      <c r="G7" s="214"/>
      <c r="H7" s="13" t="s">
        <v>3</v>
      </c>
      <c r="I7" s="14" t="s">
        <v>59</v>
      </c>
      <c r="J7" s="100"/>
      <c r="K7" s="152"/>
      <c r="L7" s="153"/>
      <c r="N7" s="1" t="s">
        <v>35</v>
      </c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30" customHeight="1" x14ac:dyDescent="0.3">
      <c r="A8" s="3" t="s">
        <v>6</v>
      </c>
      <c r="B8" s="4"/>
      <c r="C8" s="155">
        <f>L17+L20+L23+L26+L29+L41+L32+L35+L38</f>
        <v>0</v>
      </c>
      <c r="D8" s="215"/>
      <c r="E8" s="215"/>
      <c r="F8" s="215"/>
      <c r="G8" s="156"/>
      <c r="H8" s="21" t="s">
        <v>3</v>
      </c>
      <c r="I8" s="22" t="s">
        <v>66</v>
      </c>
      <c r="J8" s="23" t="s">
        <v>60</v>
      </c>
      <c r="K8" s="24"/>
      <c r="L8" s="25" t="s">
        <v>65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30" customHeight="1" x14ac:dyDescent="0.3">
      <c r="A9" s="26" t="s">
        <v>7</v>
      </c>
      <c r="B9" s="27"/>
      <c r="C9" s="157">
        <f>C6-C7-C8</f>
        <v>0</v>
      </c>
      <c r="D9" s="216"/>
      <c r="E9" s="216"/>
      <c r="F9" s="216"/>
      <c r="G9" s="158"/>
      <c r="H9" s="13" t="s">
        <v>3</v>
      </c>
      <c r="I9" s="28"/>
      <c r="J9" s="29" t="s">
        <v>52</v>
      </c>
      <c r="K9" s="30"/>
      <c r="L9" s="25" t="s">
        <v>65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30" customHeight="1" x14ac:dyDescent="0.3">
      <c r="A10" s="3" t="s">
        <v>8</v>
      </c>
      <c r="B10" s="4"/>
      <c r="C10" s="217">
        <f>L18+L21+L24+L27+L30+L42+L33+L36+L39</f>
        <v>0</v>
      </c>
      <c r="D10" s="218"/>
      <c r="E10" s="218"/>
      <c r="F10" s="218"/>
      <c r="G10" s="219"/>
      <c r="H10" s="13" t="s">
        <v>3</v>
      </c>
      <c r="I10" s="28"/>
      <c r="J10" s="29" t="s">
        <v>53</v>
      </c>
      <c r="K10" s="30"/>
      <c r="L10" s="25" t="s">
        <v>65</v>
      </c>
      <c r="N10" s="1" t="s">
        <v>36</v>
      </c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30" customHeight="1" x14ac:dyDescent="0.3">
      <c r="A11" s="3" t="s">
        <v>9</v>
      </c>
      <c r="B11" s="4"/>
      <c r="C11" s="155">
        <f>(C7*J13)/12</f>
        <v>0</v>
      </c>
      <c r="D11" s="215"/>
      <c r="E11" s="215"/>
      <c r="F11" s="215"/>
      <c r="G11" s="156"/>
      <c r="H11" s="13" t="s">
        <v>3</v>
      </c>
      <c r="I11" s="28"/>
      <c r="J11" s="29" t="s">
        <v>54</v>
      </c>
      <c r="K11" s="30"/>
      <c r="L11" s="25" t="s">
        <v>65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30" customHeight="1" x14ac:dyDescent="0.3">
      <c r="A12" s="3" t="s">
        <v>10</v>
      </c>
      <c r="B12" s="4"/>
      <c r="C12" s="157">
        <f>C10-C11</f>
        <v>0</v>
      </c>
      <c r="D12" s="216"/>
      <c r="E12" s="216"/>
      <c r="F12" s="216"/>
      <c r="G12" s="158"/>
      <c r="H12" s="13" t="s">
        <v>3</v>
      </c>
      <c r="I12" s="31"/>
      <c r="J12" s="29" t="s">
        <v>55</v>
      </c>
      <c r="K12" s="30"/>
      <c r="L12" s="25" t="s">
        <v>65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30" customHeight="1" x14ac:dyDescent="0.3">
      <c r="A13" s="26" t="s">
        <v>11</v>
      </c>
      <c r="B13" s="27"/>
      <c r="C13" s="220">
        <f>C12*12</f>
        <v>0</v>
      </c>
      <c r="D13" s="221"/>
      <c r="E13" s="221"/>
      <c r="F13" s="221"/>
      <c r="G13" s="222"/>
      <c r="H13" s="13" t="s">
        <v>3</v>
      </c>
      <c r="I13" s="110" t="s">
        <v>12</v>
      </c>
      <c r="J13" s="34">
        <v>6.4000000000000001E-2</v>
      </c>
      <c r="K13" s="35" t="s">
        <v>13</v>
      </c>
      <c r="L13" s="111" t="e">
        <f>C12*12/C9</f>
        <v>#DIV/0!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36" x14ac:dyDescent="0.3">
      <c r="A14" s="223" t="s">
        <v>14</v>
      </c>
      <c r="B14" s="224"/>
      <c r="C14" s="224"/>
      <c r="D14" s="224"/>
      <c r="E14" s="224"/>
      <c r="F14" s="224"/>
      <c r="G14" s="224"/>
      <c r="H14" s="224"/>
      <c r="I14" s="224"/>
      <c r="J14" s="224"/>
      <c r="K14" s="224"/>
      <c r="L14" s="225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24.95" customHeight="1" thickBot="1" x14ac:dyDescent="0.35">
      <c r="A15" s="40" t="s">
        <v>15</v>
      </c>
      <c r="B15" s="41"/>
      <c r="C15" s="45" t="s">
        <v>16</v>
      </c>
      <c r="D15" s="45" t="s">
        <v>17</v>
      </c>
      <c r="E15" s="45" t="s">
        <v>18</v>
      </c>
      <c r="F15" s="42" t="s">
        <v>19</v>
      </c>
      <c r="G15" s="43" t="s">
        <v>20</v>
      </c>
      <c r="H15" s="44" t="s">
        <v>21</v>
      </c>
      <c r="I15" s="44" t="s">
        <v>74</v>
      </c>
      <c r="J15" s="45" t="s">
        <v>75</v>
      </c>
      <c r="K15" s="44" t="s">
        <v>76</v>
      </c>
      <c r="L15" s="46" t="s">
        <v>22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26.1" customHeight="1" thickTop="1" x14ac:dyDescent="0.3">
      <c r="A16" s="47" t="s">
        <v>23</v>
      </c>
      <c r="B16" s="48" t="s">
        <v>4</v>
      </c>
      <c r="C16" s="261" t="s">
        <v>61</v>
      </c>
      <c r="D16" s="262"/>
      <c r="E16" s="262"/>
      <c r="F16" s="262"/>
      <c r="G16" s="263"/>
      <c r="H16" s="241"/>
      <c r="I16" s="270"/>
      <c r="J16" s="241"/>
      <c r="K16" s="242"/>
      <c r="L16" s="250"/>
    </row>
    <row r="17" spans="1:20" ht="26.1" customHeight="1" x14ac:dyDescent="0.3">
      <c r="A17" s="54"/>
      <c r="B17" s="55" t="s">
        <v>24</v>
      </c>
      <c r="C17" s="264"/>
      <c r="D17" s="265"/>
      <c r="E17" s="265"/>
      <c r="F17" s="265"/>
      <c r="G17" s="266"/>
      <c r="H17" s="249"/>
      <c r="I17" s="246"/>
      <c r="J17" s="245"/>
      <c r="K17" s="246"/>
      <c r="L17" s="227">
        <f>K17+J17+I17+H17+G17+F17</f>
        <v>0</v>
      </c>
    </row>
    <row r="18" spans="1:20" ht="26.1" customHeight="1" thickBot="1" x14ac:dyDescent="0.35">
      <c r="A18" s="61"/>
      <c r="B18" s="62" t="s">
        <v>25</v>
      </c>
      <c r="C18" s="267"/>
      <c r="D18" s="268"/>
      <c r="E18" s="268"/>
      <c r="F18" s="268"/>
      <c r="G18" s="269"/>
      <c r="H18" s="251"/>
      <c r="I18" s="252"/>
      <c r="J18" s="253"/>
      <c r="K18" s="253"/>
      <c r="L18" s="228">
        <f>K18+J18+I18+H18+G18+F18</f>
        <v>0</v>
      </c>
    </row>
    <row r="19" spans="1:20" ht="26.1" customHeight="1" thickTop="1" x14ac:dyDescent="0.3">
      <c r="A19" s="47" t="s">
        <v>26</v>
      </c>
      <c r="B19" s="67" t="s">
        <v>4</v>
      </c>
      <c r="C19" s="49"/>
      <c r="D19" s="49"/>
      <c r="E19" s="49"/>
      <c r="F19" s="49"/>
      <c r="G19" s="50"/>
      <c r="H19" s="242"/>
      <c r="I19" s="248"/>
      <c r="J19" s="244"/>
      <c r="K19" s="248"/>
      <c r="L19" s="229"/>
    </row>
    <row r="20" spans="1:20" ht="26.1" customHeight="1" x14ac:dyDescent="0.3">
      <c r="A20" s="54"/>
      <c r="B20" s="55" t="s">
        <v>24</v>
      </c>
      <c r="C20" s="56"/>
      <c r="D20" s="56"/>
      <c r="E20" s="56"/>
      <c r="F20" s="56"/>
      <c r="G20" s="57"/>
      <c r="H20" s="242"/>
      <c r="I20" s="248"/>
      <c r="J20" s="244"/>
      <c r="K20" s="244"/>
      <c r="L20" s="230">
        <f>K20+J20+I20+H20+G20+F20+E20+D20+C20</f>
        <v>0</v>
      </c>
    </row>
    <row r="21" spans="1:20" ht="26.1" customHeight="1" thickBot="1" x14ac:dyDescent="0.35">
      <c r="A21" s="61"/>
      <c r="B21" s="62" t="s">
        <v>25</v>
      </c>
      <c r="C21" s="63"/>
      <c r="D21" s="63"/>
      <c r="E21" s="63"/>
      <c r="F21" s="63"/>
      <c r="G21" s="77"/>
      <c r="H21" s="239"/>
      <c r="I21" s="247"/>
      <c r="J21" s="240"/>
      <c r="K21" s="240"/>
      <c r="L21" s="231">
        <f>K21+J21+I21+H21+G21+F21+E21+D21+C21</f>
        <v>0</v>
      </c>
    </row>
    <row r="22" spans="1:20" ht="26.1" customHeight="1" thickTop="1" x14ac:dyDescent="0.3">
      <c r="A22" s="47" t="s">
        <v>29</v>
      </c>
      <c r="B22" s="67" t="s">
        <v>4</v>
      </c>
      <c r="C22" s="49"/>
      <c r="D22" s="49"/>
      <c r="E22" s="49"/>
      <c r="F22" s="49"/>
      <c r="G22" s="260"/>
      <c r="H22" s="258"/>
      <c r="I22" s="254"/>
      <c r="J22" s="255"/>
      <c r="K22" s="255"/>
      <c r="L22" s="226"/>
    </row>
    <row r="23" spans="1:20" ht="26.1" customHeight="1" x14ac:dyDescent="0.3">
      <c r="A23" s="54"/>
      <c r="B23" s="55" t="s">
        <v>24</v>
      </c>
      <c r="C23" s="56"/>
      <c r="D23" s="56"/>
      <c r="E23" s="56"/>
      <c r="F23" s="56"/>
      <c r="G23" s="58"/>
      <c r="H23" s="243"/>
      <c r="I23" s="246"/>
      <c r="J23" s="245"/>
      <c r="K23" s="246"/>
      <c r="L23" s="230">
        <f>K23+J23+I23+H23+G23+F23+E23+D23+C23</f>
        <v>0</v>
      </c>
      <c r="T23" s="160"/>
    </row>
    <row r="24" spans="1:20" ht="26.1" customHeight="1" thickBot="1" x14ac:dyDescent="0.35">
      <c r="A24" s="61"/>
      <c r="B24" s="62" t="s">
        <v>25</v>
      </c>
      <c r="C24" s="63"/>
      <c r="D24" s="63"/>
      <c r="E24" s="63"/>
      <c r="F24" s="63"/>
      <c r="G24" s="64"/>
      <c r="H24" s="259"/>
      <c r="I24" s="252"/>
      <c r="J24" s="256"/>
      <c r="K24" s="257"/>
      <c r="L24" s="232">
        <f>K24+J24+I24+H24+G24+F24+E24+D24+C24</f>
        <v>0</v>
      </c>
    </row>
    <row r="25" spans="1:20" ht="26.1" customHeight="1" thickTop="1" x14ac:dyDescent="0.3">
      <c r="A25" s="47" t="s">
        <v>31</v>
      </c>
      <c r="B25" s="67" t="s">
        <v>4</v>
      </c>
      <c r="C25" s="49"/>
      <c r="D25" s="49"/>
      <c r="E25" s="49"/>
      <c r="F25" s="49"/>
      <c r="G25" s="50"/>
      <c r="H25" s="242"/>
      <c r="I25" s="242"/>
      <c r="J25" s="248"/>
      <c r="K25" s="244"/>
      <c r="L25" s="233"/>
    </row>
    <row r="26" spans="1:20" ht="26.1" customHeight="1" x14ac:dyDescent="0.3">
      <c r="A26" s="54"/>
      <c r="B26" s="55" t="s">
        <v>24</v>
      </c>
      <c r="C26" s="56"/>
      <c r="D26" s="56"/>
      <c r="E26" s="56"/>
      <c r="F26" s="56"/>
      <c r="G26" s="57"/>
      <c r="H26" s="242"/>
      <c r="I26" s="246"/>
      <c r="J26" s="244"/>
      <c r="K26" s="244"/>
      <c r="L26" s="234">
        <f>K26+J26+I26+H26+G26+F26+E26+D26+C26</f>
        <v>0</v>
      </c>
    </row>
    <row r="27" spans="1:20" ht="26.1" customHeight="1" thickBot="1" x14ac:dyDescent="0.35">
      <c r="A27" s="61"/>
      <c r="B27" s="62" t="s">
        <v>25</v>
      </c>
      <c r="C27" s="63"/>
      <c r="D27" s="63"/>
      <c r="E27" s="63"/>
      <c r="F27" s="63"/>
      <c r="G27" s="77"/>
      <c r="H27" s="251"/>
      <c r="I27" s="252"/>
      <c r="J27" s="253"/>
      <c r="K27" s="253"/>
      <c r="L27" s="231">
        <f>K27+J27+I27+H27+G27+F27+E27+D27+C27</f>
        <v>0</v>
      </c>
    </row>
    <row r="28" spans="1:20" ht="26.1" customHeight="1" thickTop="1" x14ac:dyDescent="0.3">
      <c r="A28" s="47" t="s">
        <v>32</v>
      </c>
      <c r="B28" s="67" t="s">
        <v>4</v>
      </c>
      <c r="C28" s="49"/>
      <c r="D28" s="49"/>
      <c r="E28" s="49"/>
      <c r="F28" s="49"/>
      <c r="G28" s="49"/>
      <c r="H28" s="49"/>
      <c r="I28" s="49"/>
      <c r="J28" s="49"/>
      <c r="K28" s="49"/>
      <c r="L28" s="134"/>
    </row>
    <row r="29" spans="1:20" ht="26.1" customHeight="1" x14ac:dyDescent="0.3">
      <c r="A29" s="54"/>
      <c r="B29" s="55" t="s">
        <v>24</v>
      </c>
      <c r="C29" s="56"/>
      <c r="D29" s="56"/>
      <c r="E29" s="56"/>
      <c r="F29" s="56"/>
      <c r="G29" s="56"/>
      <c r="H29" s="57"/>
      <c r="I29" s="58"/>
      <c r="J29" s="58"/>
      <c r="K29" s="58"/>
      <c r="L29" s="135">
        <f>K29+J29+I29+H29+G29+F29+E29+D29+C29</f>
        <v>0</v>
      </c>
    </row>
    <row r="30" spans="1:20" ht="26.1" customHeight="1" thickBot="1" x14ac:dyDescent="0.35">
      <c r="A30" s="61"/>
      <c r="B30" s="62" t="s">
        <v>25</v>
      </c>
      <c r="C30" s="63"/>
      <c r="D30" s="63"/>
      <c r="E30" s="63"/>
      <c r="F30" s="63"/>
      <c r="G30" s="63"/>
      <c r="H30" s="77"/>
      <c r="I30" s="64"/>
      <c r="J30" s="64"/>
      <c r="K30" s="64"/>
      <c r="L30" s="235">
        <f>K30+J30+I30+H30+G30+F30+E30+D30+C30</f>
        <v>0</v>
      </c>
    </row>
    <row r="31" spans="1:20" ht="26.1" customHeight="1" thickTop="1" x14ac:dyDescent="0.3">
      <c r="A31" s="47" t="s">
        <v>33</v>
      </c>
      <c r="B31" s="67" t="s">
        <v>4</v>
      </c>
      <c r="C31" s="49"/>
      <c r="D31" s="49"/>
      <c r="E31" s="49"/>
      <c r="F31" s="49"/>
      <c r="G31" s="49"/>
      <c r="H31" s="49"/>
      <c r="I31" s="49"/>
      <c r="J31" s="49"/>
      <c r="K31" s="49"/>
      <c r="L31" s="136"/>
    </row>
    <row r="32" spans="1:20" ht="26.1" customHeight="1" x14ac:dyDescent="0.3">
      <c r="A32" s="54"/>
      <c r="B32" s="55" t="s">
        <v>24</v>
      </c>
      <c r="C32" s="56"/>
      <c r="D32" s="56"/>
      <c r="E32" s="56"/>
      <c r="F32" s="56"/>
      <c r="G32" s="58"/>
      <c r="H32" s="58"/>
      <c r="I32" s="58"/>
      <c r="J32" s="58"/>
      <c r="K32" s="58"/>
      <c r="L32" s="135">
        <f>K32+J32+I32+H32+G32+F32+E32+D32+C32</f>
        <v>0</v>
      </c>
    </row>
    <row r="33" spans="1:20" ht="26.1" customHeight="1" thickBot="1" x14ac:dyDescent="0.35">
      <c r="A33" s="61"/>
      <c r="B33" s="62" t="s">
        <v>25</v>
      </c>
      <c r="C33" s="63"/>
      <c r="D33" s="63"/>
      <c r="E33" s="63"/>
      <c r="F33" s="63"/>
      <c r="G33" s="64"/>
      <c r="H33" s="64"/>
      <c r="I33" s="64"/>
      <c r="J33" s="64"/>
      <c r="K33" s="64"/>
      <c r="L33" s="235">
        <f>K33+J33+I33+H33+G33+F33+E33+D33+C33</f>
        <v>0</v>
      </c>
    </row>
    <row r="34" spans="1:20" ht="26.1" customHeight="1" thickTop="1" x14ac:dyDescent="0.3">
      <c r="A34" s="47" t="s">
        <v>77</v>
      </c>
      <c r="B34" s="67" t="s">
        <v>4</v>
      </c>
      <c r="C34" s="49"/>
      <c r="D34" s="49"/>
      <c r="E34" s="49"/>
      <c r="F34" s="49"/>
      <c r="G34" s="49"/>
      <c r="H34" s="49"/>
      <c r="I34" s="49"/>
      <c r="J34" s="49"/>
      <c r="K34" s="49"/>
      <c r="L34" s="136"/>
    </row>
    <row r="35" spans="1:20" ht="26.1" customHeight="1" x14ac:dyDescent="0.3">
      <c r="A35" s="54"/>
      <c r="B35" s="55" t="s">
        <v>24</v>
      </c>
      <c r="C35" s="56"/>
      <c r="D35" s="56"/>
      <c r="E35" s="56"/>
      <c r="F35" s="56"/>
      <c r="G35" s="58"/>
      <c r="H35" s="58"/>
      <c r="I35" s="58"/>
      <c r="J35" s="58"/>
      <c r="K35" s="58"/>
      <c r="L35" s="135">
        <f>K35+J35+I35+H35+G35+F35+E35+D35+C35</f>
        <v>0</v>
      </c>
    </row>
    <row r="36" spans="1:20" ht="26.1" customHeight="1" thickBot="1" x14ac:dyDescent="0.35">
      <c r="A36" s="61"/>
      <c r="B36" s="62" t="s">
        <v>25</v>
      </c>
      <c r="C36" s="63"/>
      <c r="D36" s="63"/>
      <c r="E36" s="63"/>
      <c r="F36" s="63"/>
      <c r="G36" s="64"/>
      <c r="H36" s="64"/>
      <c r="I36" s="64"/>
      <c r="J36" s="64"/>
      <c r="K36" s="64"/>
      <c r="L36" s="235">
        <f>K36+J36+I36+H36+G36+F36+E36+D36+C36</f>
        <v>0</v>
      </c>
      <c r="T36" s="160"/>
    </row>
    <row r="37" spans="1:20" ht="26.1" customHeight="1" thickTop="1" x14ac:dyDescent="0.3">
      <c r="A37" s="47" t="s">
        <v>78</v>
      </c>
      <c r="B37" s="67" t="s">
        <v>4</v>
      </c>
      <c r="C37" s="49"/>
      <c r="D37" s="49"/>
      <c r="E37" s="49"/>
      <c r="F37" s="49"/>
      <c r="G37" s="49"/>
      <c r="H37" s="49"/>
      <c r="I37" s="49"/>
      <c r="J37" s="49"/>
      <c r="K37" s="49"/>
      <c r="L37" s="136"/>
    </row>
    <row r="38" spans="1:20" ht="26.1" customHeight="1" x14ac:dyDescent="0.3">
      <c r="A38" s="54"/>
      <c r="B38" s="55" t="s">
        <v>24</v>
      </c>
      <c r="C38" s="56"/>
      <c r="D38" s="56"/>
      <c r="E38" s="56"/>
      <c r="F38" s="56"/>
      <c r="G38" s="58"/>
      <c r="H38" s="58"/>
      <c r="I38" s="58"/>
      <c r="J38" s="58"/>
      <c r="K38" s="58"/>
      <c r="L38" s="135">
        <f>K38+J38+I38+H38+G38+F38+E38+D38+C38</f>
        <v>0</v>
      </c>
    </row>
    <row r="39" spans="1:20" ht="26.1" customHeight="1" thickBot="1" x14ac:dyDescent="0.35">
      <c r="A39" s="61"/>
      <c r="B39" s="62" t="s">
        <v>25</v>
      </c>
      <c r="C39" s="63"/>
      <c r="D39" s="63"/>
      <c r="E39" s="63"/>
      <c r="F39" s="63"/>
      <c r="G39" s="64"/>
      <c r="H39" s="64"/>
      <c r="I39" s="64"/>
      <c r="J39" s="64"/>
      <c r="K39" s="64"/>
      <c r="L39" s="235">
        <f>K39+J39+I39+H39+G39+F39+E39+D39+C39</f>
        <v>0</v>
      </c>
    </row>
    <row r="40" spans="1:20" ht="26.1" customHeight="1" thickTop="1" x14ac:dyDescent="0.3">
      <c r="A40" s="47" t="s">
        <v>79</v>
      </c>
      <c r="B40" s="67" t="s">
        <v>4</v>
      </c>
      <c r="C40" s="49"/>
      <c r="D40" s="49"/>
      <c r="E40" s="49"/>
      <c r="F40" s="49"/>
      <c r="G40" s="49"/>
      <c r="H40" s="49"/>
      <c r="I40" s="49"/>
      <c r="J40" s="49"/>
      <c r="K40" s="49"/>
      <c r="L40" s="136"/>
    </row>
    <row r="41" spans="1:20" ht="26.1" customHeight="1" x14ac:dyDescent="0.3">
      <c r="A41" s="54"/>
      <c r="B41" s="55" t="s">
        <v>24</v>
      </c>
      <c r="C41" s="56"/>
      <c r="D41" s="56"/>
      <c r="E41" s="56"/>
      <c r="F41" s="56"/>
      <c r="G41" s="58"/>
      <c r="H41" s="58"/>
      <c r="I41" s="58"/>
      <c r="J41" s="58"/>
      <c r="K41" s="58"/>
      <c r="L41" s="135">
        <f>K41+J41+I41+H41+G41+F41+E41+D41+C41</f>
        <v>0</v>
      </c>
    </row>
    <row r="42" spans="1:20" ht="26.1" customHeight="1" thickBot="1" x14ac:dyDescent="0.35">
      <c r="A42" s="61"/>
      <c r="B42" s="62" t="s">
        <v>25</v>
      </c>
      <c r="C42" s="63"/>
      <c r="D42" s="63"/>
      <c r="E42" s="63"/>
      <c r="F42" s="63"/>
      <c r="G42" s="64"/>
      <c r="H42" s="64"/>
      <c r="I42" s="64"/>
      <c r="J42" s="64"/>
      <c r="K42" s="64"/>
      <c r="L42" s="235">
        <f>K42+J42+I42+H42+G42+F42+E42+D42+C42</f>
        <v>0</v>
      </c>
    </row>
    <row r="43" spans="1:20" ht="30" customHeight="1" thickTop="1" thickBot="1" x14ac:dyDescent="0.35">
      <c r="A43" s="137" t="s">
        <v>51</v>
      </c>
      <c r="B43" s="138"/>
      <c r="C43" s="139"/>
      <c r="D43" s="140"/>
      <c r="E43" s="140"/>
      <c r="F43" s="140"/>
      <c r="G43" s="140"/>
      <c r="H43" s="140"/>
      <c r="I43" s="140"/>
      <c r="J43" s="140"/>
      <c r="K43" s="140"/>
      <c r="L43" s="141"/>
      <c r="M43" s="236"/>
    </row>
    <row r="44" spans="1:20" ht="30" customHeight="1" thickTop="1" x14ac:dyDescent="0.3">
      <c r="A44" s="142" t="s">
        <v>50</v>
      </c>
      <c r="B44" s="273"/>
      <c r="C44" s="271"/>
      <c r="D44" s="271"/>
      <c r="E44" s="271"/>
      <c r="F44" s="271"/>
      <c r="G44" s="271"/>
      <c r="H44" s="271"/>
      <c r="I44" s="271"/>
      <c r="J44" s="271"/>
      <c r="K44" s="271"/>
      <c r="L44" s="272"/>
    </row>
    <row r="45" spans="1:20" ht="30" customHeight="1" x14ac:dyDescent="0.3">
      <c r="A45" s="274"/>
      <c r="B45" s="275"/>
      <c r="C45" s="276"/>
      <c r="D45" s="203"/>
      <c r="E45" s="203"/>
      <c r="F45" s="203"/>
      <c r="G45" s="203"/>
      <c r="H45" s="203"/>
      <c r="I45" s="203"/>
      <c r="J45" s="203"/>
      <c r="K45" s="203"/>
      <c r="L45" s="204"/>
    </row>
    <row r="46" spans="1:20" ht="30" customHeight="1" x14ac:dyDescent="0.3">
      <c r="A46" s="277" t="s">
        <v>80</v>
      </c>
      <c r="B46" s="278"/>
      <c r="C46" s="278"/>
      <c r="D46" s="278"/>
      <c r="E46" s="278"/>
      <c r="F46" s="278"/>
      <c r="G46" s="278"/>
      <c r="H46" s="278"/>
      <c r="I46" s="278"/>
      <c r="J46" s="278"/>
      <c r="K46" s="278"/>
      <c r="L46" s="279"/>
    </row>
    <row r="47" spans="1:20" ht="60" customHeight="1" thickBot="1" x14ac:dyDescent="0.35">
      <c r="A47" s="196" t="s">
        <v>81</v>
      </c>
      <c r="B47" s="197"/>
      <c r="C47" s="197"/>
      <c r="D47" s="197"/>
      <c r="E47" s="197"/>
      <c r="F47" s="280"/>
      <c r="G47" s="168" t="s">
        <v>34</v>
      </c>
      <c r="H47" s="168"/>
      <c r="I47" s="168"/>
      <c r="J47" s="168"/>
      <c r="K47" s="168"/>
      <c r="L47" s="169"/>
      <c r="M47" s="236"/>
      <c r="R47" s="160"/>
    </row>
    <row r="48" spans="1:20" ht="16.5" customHeight="1" x14ac:dyDescent="0.3">
      <c r="A48" s="237"/>
      <c r="B48" s="237"/>
      <c r="C48" s="237"/>
      <c r="D48" s="237"/>
      <c r="E48" s="237"/>
      <c r="F48" s="237"/>
      <c r="G48" s="237"/>
      <c r="H48" s="237"/>
      <c r="I48" s="237"/>
      <c r="J48" s="237"/>
      <c r="K48" s="237"/>
      <c r="L48" s="237"/>
    </row>
    <row r="49" spans="1:12" ht="16.5" customHeight="1" x14ac:dyDescent="0.3">
      <c r="A49" s="238"/>
      <c r="B49" s="238"/>
      <c r="C49" s="238"/>
      <c r="D49" s="238"/>
      <c r="E49" s="238"/>
      <c r="F49" s="238"/>
      <c r="G49" s="238"/>
      <c r="H49" s="238"/>
      <c r="I49" s="238"/>
      <c r="J49" s="238"/>
      <c r="K49" s="238"/>
      <c r="L49" s="238"/>
    </row>
    <row r="50" spans="1:12" x14ac:dyDescent="0.3">
      <c r="A50" s="160"/>
      <c r="B50" s="160"/>
      <c r="C50" s="160"/>
      <c r="D50" s="160"/>
      <c r="E50" s="160"/>
      <c r="F50" s="160"/>
      <c r="G50" s="160"/>
      <c r="H50" s="160"/>
      <c r="I50" s="160"/>
      <c r="J50" s="160"/>
      <c r="K50" s="160"/>
      <c r="L50" s="160"/>
    </row>
  </sheetData>
  <mergeCells count="46">
    <mergeCell ref="A46:L46"/>
    <mergeCell ref="C16:G18"/>
    <mergeCell ref="C43:L43"/>
    <mergeCell ref="A44:B45"/>
    <mergeCell ref="C44:L44"/>
    <mergeCell ref="C45:L45"/>
    <mergeCell ref="A47:F47"/>
    <mergeCell ref="G47:L47"/>
    <mergeCell ref="A28:A30"/>
    <mergeCell ref="A31:A33"/>
    <mergeCell ref="A34:A36"/>
    <mergeCell ref="A37:A39"/>
    <mergeCell ref="A40:A42"/>
    <mergeCell ref="A43:B43"/>
    <mergeCell ref="C12:G12"/>
    <mergeCell ref="A13:B13"/>
    <mergeCell ref="C13:G13"/>
    <mergeCell ref="A14:L14"/>
    <mergeCell ref="A15:B15"/>
    <mergeCell ref="A16:A18"/>
    <mergeCell ref="A19:A21"/>
    <mergeCell ref="A22:A24"/>
    <mergeCell ref="A25:A27"/>
    <mergeCell ref="A8:B8"/>
    <mergeCell ref="C8:G8"/>
    <mergeCell ref="I8:I12"/>
    <mergeCell ref="A9:B9"/>
    <mergeCell ref="C9:G9"/>
    <mergeCell ref="A10:B10"/>
    <mergeCell ref="C10:G10"/>
    <mergeCell ref="A11:B11"/>
    <mergeCell ref="C11:G11"/>
    <mergeCell ref="A12:B12"/>
    <mergeCell ref="A6:B6"/>
    <mergeCell ref="C6:G6"/>
    <mergeCell ref="J6:L6"/>
    <mergeCell ref="A7:B7"/>
    <mergeCell ref="C7:G7"/>
    <mergeCell ref="J7:L7"/>
    <mergeCell ref="A1:L3"/>
    <mergeCell ref="A4:B4"/>
    <mergeCell ref="C4:H4"/>
    <mergeCell ref="J4:L4"/>
    <mergeCell ref="A5:B5"/>
    <mergeCell ref="C5:H5"/>
    <mergeCell ref="J5:K5"/>
  </mergeCells>
  <phoneticPr fontId="2" type="noConversion"/>
  <printOptions horizontalCentered="1" verticalCentered="1"/>
  <pageMargins left="0.7" right="0.7" top="0.75" bottom="0.75" header="0.3" footer="0.3"/>
  <pageSetup paperSize="9" scale="55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8"/>
  <sheetViews>
    <sheetView topLeftCell="A13" zoomScale="70" zoomScaleNormal="70" workbookViewId="0">
      <selection activeCell="C4" sqref="C4:E4"/>
    </sheetView>
  </sheetViews>
  <sheetFormatPr defaultRowHeight="16.5" x14ac:dyDescent="0.3"/>
  <cols>
    <col min="1" max="8" width="11.125" customWidth="1"/>
    <col min="9" max="9" width="15.125" customWidth="1"/>
  </cols>
  <sheetData>
    <row r="1" spans="1:21" ht="16.5" customHeight="1" x14ac:dyDescent="0.3">
      <c r="A1" s="101" t="s">
        <v>0</v>
      </c>
      <c r="B1" s="102"/>
      <c r="C1" s="102"/>
      <c r="D1" s="102"/>
      <c r="E1" s="102"/>
      <c r="F1" s="102"/>
      <c r="G1" s="102"/>
      <c r="H1" s="102"/>
      <c r="I1" s="103"/>
    </row>
    <row r="2" spans="1:21" ht="16.5" customHeight="1" x14ac:dyDescent="0.3">
      <c r="A2" s="104"/>
      <c r="B2" s="105"/>
      <c r="C2" s="105"/>
      <c r="D2" s="105"/>
      <c r="E2" s="105"/>
      <c r="F2" s="105"/>
      <c r="G2" s="105"/>
      <c r="H2" s="105"/>
      <c r="I2" s="106"/>
    </row>
    <row r="3" spans="1:21" ht="16.5" customHeight="1" x14ac:dyDescent="0.3">
      <c r="A3" s="107"/>
      <c r="B3" s="108"/>
      <c r="C3" s="108"/>
      <c r="D3" s="108"/>
      <c r="E3" s="108"/>
      <c r="F3" s="108"/>
      <c r="G3" s="108"/>
      <c r="H3" s="108"/>
      <c r="I3" s="109"/>
    </row>
    <row r="4" spans="1:21" ht="26.25" customHeight="1" x14ac:dyDescent="0.3">
      <c r="A4" s="3" t="s">
        <v>69</v>
      </c>
      <c r="B4" s="4"/>
      <c r="C4" s="149"/>
      <c r="D4" s="150"/>
      <c r="E4" s="195"/>
      <c r="F4" s="5" t="s">
        <v>68</v>
      </c>
      <c r="G4" s="6"/>
      <c r="H4" s="7"/>
      <c r="I4" s="8"/>
      <c r="K4" s="1" t="s">
        <v>37</v>
      </c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6.25" customHeight="1" x14ac:dyDescent="0.3">
      <c r="A5" s="3" t="s">
        <v>1</v>
      </c>
      <c r="B5" s="4"/>
      <c r="C5" s="149"/>
      <c r="D5" s="150"/>
      <c r="E5" s="195"/>
      <c r="F5" s="9" t="s">
        <v>56</v>
      </c>
      <c r="G5" s="10"/>
      <c r="H5" s="11"/>
      <c r="I5" s="12" t="s">
        <v>64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6.25" customHeight="1" x14ac:dyDescent="0.3">
      <c r="A6" s="3" t="s">
        <v>2</v>
      </c>
      <c r="B6" s="4"/>
      <c r="C6" s="143"/>
      <c r="D6" s="144"/>
      <c r="E6" s="13" t="s">
        <v>3</v>
      </c>
      <c r="F6" s="14" t="s">
        <v>58</v>
      </c>
      <c r="G6" s="15"/>
      <c r="H6" s="16"/>
      <c r="I6" s="17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6.25" customHeight="1" x14ac:dyDescent="0.3">
      <c r="A7" s="3" t="s">
        <v>5</v>
      </c>
      <c r="B7" s="4"/>
      <c r="C7" s="143"/>
      <c r="D7" s="144"/>
      <c r="E7" s="13" t="s">
        <v>3</v>
      </c>
      <c r="F7" s="14" t="s">
        <v>59</v>
      </c>
      <c r="G7" s="18"/>
      <c r="H7" s="19"/>
      <c r="I7" s="20"/>
      <c r="K7" s="1" t="s">
        <v>35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6.25" customHeight="1" x14ac:dyDescent="0.3">
      <c r="A8" s="3" t="s">
        <v>6</v>
      </c>
      <c r="B8" s="4"/>
      <c r="C8" s="145">
        <f>I17+I20+I23+I26+I29+I32</f>
        <v>0</v>
      </c>
      <c r="D8" s="146"/>
      <c r="E8" s="21" t="s">
        <v>3</v>
      </c>
      <c r="F8" s="22" t="s">
        <v>66</v>
      </c>
      <c r="G8" s="23" t="s">
        <v>60</v>
      </c>
      <c r="H8" s="24"/>
      <c r="I8" s="25" t="s">
        <v>65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6.25" customHeight="1" x14ac:dyDescent="0.3">
      <c r="A9" s="26" t="s">
        <v>7</v>
      </c>
      <c r="B9" s="27"/>
      <c r="C9" s="147">
        <f>C6-C7-C8</f>
        <v>0</v>
      </c>
      <c r="D9" s="148"/>
      <c r="E9" s="13" t="s">
        <v>3</v>
      </c>
      <c r="F9" s="28"/>
      <c r="G9" s="29" t="s">
        <v>52</v>
      </c>
      <c r="H9" s="30"/>
      <c r="I9" s="25" t="s">
        <v>65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6.25" customHeight="1" x14ac:dyDescent="0.3">
      <c r="A10" s="3" t="s">
        <v>8</v>
      </c>
      <c r="B10" s="4"/>
      <c r="C10" s="145">
        <f>I18+I21+I24+I27+I30+I33</f>
        <v>0</v>
      </c>
      <c r="D10" s="146"/>
      <c r="E10" s="13" t="s">
        <v>3</v>
      </c>
      <c r="F10" s="28"/>
      <c r="G10" s="29" t="s">
        <v>53</v>
      </c>
      <c r="H10" s="30"/>
      <c r="I10" s="25" t="s">
        <v>65</v>
      </c>
      <c r="K10" s="1" t="s">
        <v>36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6.25" customHeight="1" x14ac:dyDescent="0.3">
      <c r="A11" s="3" t="s">
        <v>9</v>
      </c>
      <c r="B11" s="4"/>
      <c r="C11" s="145">
        <f>(C7*G13)/12</f>
        <v>0</v>
      </c>
      <c r="D11" s="146"/>
      <c r="E11" s="13" t="s">
        <v>3</v>
      </c>
      <c r="F11" s="28"/>
      <c r="G11" s="29" t="s">
        <v>54</v>
      </c>
      <c r="H11" s="30"/>
      <c r="I11" s="25" t="s">
        <v>65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6.25" customHeight="1" x14ac:dyDescent="0.3">
      <c r="A12" s="3" t="s">
        <v>10</v>
      </c>
      <c r="B12" s="4"/>
      <c r="C12" s="147">
        <f>C10-C11</f>
        <v>0</v>
      </c>
      <c r="D12" s="148"/>
      <c r="E12" s="13" t="s">
        <v>3</v>
      </c>
      <c r="F12" s="31"/>
      <c r="G12" s="29" t="s">
        <v>55</v>
      </c>
      <c r="H12" s="30"/>
      <c r="I12" s="25" t="s">
        <v>65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7.75" x14ac:dyDescent="0.3">
      <c r="A13" s="26" t="s">
        <v>11</v>
      </c>
      <c r="B13" s="27"/>
      <c r="C13" s="147">
        <f>C12*12</f>
        <v>0</v>
      </c>
      <c r="D13" s="148"/>
      <c r="E13" s="13" t="s">
        <v>3</v>
      </c>
      <c r="F13" s="33" t="s">
        <v>12</v>
      </c>
      <c r="G13" s="34">
        <v>3.7999999999999999E-2</v>
      </c>
      <c r="H13" s="35" t="s">
        <v>13</v>
      </c>
      <c r="I13" s="111" t="e">
        <f>C12*12/C9</f>
        <v>#DIV/0!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36" x14ac:dyDescent="0.3">
      <c r="A14" s="37" t="s">
        <v>14</v>
      </c>
      <c r="B14" s="38"/>
      <c r="C14" s="38"/>
      <c r="D14" s="38"/>
      <c r="E14" s="38"/>
      <c r="F14" s="38"/>
      <c r="G14" s="38"/>
      <c r="H14" s="38"/>
      <c r="I14" s="39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4.95" customHeight="1" thickBot="1" x14ac:dyDescent="0.35">
      <c r="A15" s="40" t="s">
        <v>15</v>
      </c>
      <c r="B15" s="41"/>
      <c r="C15" s="42" t="s">
        <v>16</v>
      </c>
      <c r="D15" s="43" t="s">
        <v>17</v>
      </c>
      <c r="E15" s="44" t="s">
        <v>18</v>
      </c>
      <c r="F15" s="44" t="s">
        <v>19</v>
      </c>
      <c r="G15" s="45" t="s">
        <v>20</v>
      </c>
      <c r="H15" s="44" t="s">
        <v>21</v>
      </c>
      <c r="I15" s="46" t="s">
        <v>22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4.95" customHeight="1" thickTop="1" x14ac:dyDescent="0.3">
      <c r="A16" s="47" t="s">
        <v>23</v>
      </c>
      <c r="B16" s="48" t="s">
        <v>4</v>
      </c>
      <c r="C16" s="49"/>
      <c r="D16" s="49"/>
      <c r="E16" s="50"/>
      <c r="F16" s="51"/>
      <c r="G16" s="51"/>
      <c r="H16" s="52"/>
      <c r="I16" s="53"/>
    </row>
    <row r="17" spans="1:9" ht="24.95" customHeight="1" x14ac:dyDescent="0.3">
      <c r="A17" s="54"/>
      <c r="B17" s="55" t="s">
        <v>24</v>
      </c>
      <c r="C17" s="56"/>
      <c r="D17" s="56"/>
      <c r="E17" s="57"/>
      <c r="F17" s="58"/>
      <c r="G17" s="58"/>
      <c r="H17" s="59"/>
      <c r="I17" s="60">
        <f>H17+G17+F17+E17+D17+C17</f>
        <v>0</v>
      </c>
    </row>
    <row r="18" spans="1:9" ht="24.95" customHeight="1" thickBot="1" x14ac:dyDescent="0.35">
      <c r="A18" s="61"/>
      <c r="B18" s="62" t="s">
        <v>25</v>
      </c>
      <c r="C18" s="63"/>
      <c r="D18" s="64"/>
      <c r="E18" s="64"/>
      <c r="F18" s="64"/>
      <c r="G18" s="64"/>
      <c r="H18" s="65"/>
      <c r="I18" s="66">
        <f>H18+G18+F18+E18+D18+C18</f>
        <v>0</v>
      </c>
    </row>
    <row r="19" spans="1:9" ht="24.95" customHeight="1" thickTop="1" x14ac:dyDescent="0.3">
      <c r="A19" s="47" t="s">
        <v>26</v>
      </c>
      <c r="B19" s="67" t="s">
        <v>4</v>
      </c>
      <c r="C19" s="49"/>
      <c r="D19" s="127"/>
      <c r="E19" s="127"/>
      <c r="F19" s="127"/>
      <c r="G19" s="127"/>
      <c r="H19" s="128"/>
      <c r="I19" s="129"/>
    </row>
    <row r="20" spans="1:9" ht="24.95" customHeight="1" x14ac:dyDescent="0.3">
      <c r="A20" s="54"/>
      <c r="B20" s="55" t="s">
        <v>27</v>
      </c>
      <c r="C20" s="56"/>
      <c r="D20" s="56"/>
      <c r="E20" s="73"/>
      <c r="F20" s="58"/>
      <c r="G20" s="58"/>
      <c r="H20" s="74"/>
      <c r="I20" s="75">
        <f>H20+G20+F20+E20+D20+C20</f>
        <v>0</v>
      </c>
    </row>
    <row r="21" spans="1:9" ht="24.95" customHeight="1" thickBot="1" x14ac:dyDescent="0.35">
      <c r="A21" s="61"/>
      <c r="B21" s="62" t="s">
        <v>28</v>
      </c>
      <c r="C21" s="63"/>
      <c r="D21" s="63"/>
      <c r="E21" s="77"/>
      <c r="F21" s="64"/>
      <c r="G21" s="64"/>
      <c r="H21" s="64"/>
      <c r="I21" s="78">
        <f>H21+G21+F21+E21+D21+C21</f>
        <v>0</v>
      </c>
    </row>
    <row r="22" spans="1:9" ht="24.95" customHeight="1" thickTop="1" x14ac:dyDescent="0.3">
      <c r="A22" s="47" t="s">
        <v>29</v>
      </c>
      <c r="B22" s="67" t="s">
        <v>4</v>
      </c>
      <c r="C22" s="49"/>
      <c r="D22" s="127"/>
      <c r="E22" s="50"/>
      <c r="F22" s="127"/>
      <c r="G22" s="127"/>
      <c r="H22" s="128"/>
      <c r="I22" s="53"/>
    </row>
    <row r="23" spans="1:9" ht="24.95" customHeight="1" x14ac:dyDescent="0.3">
      <c r="A23" s="54"/>
      <c r="B23" s="55" t="s">
        <v>30</v>
      </c>
      <c r="C23" s="56"/>
      <c r="D23" s="58"/>
      <c r="E23" s="57"/>
      <c r="F23" s="58"/>
      <c r="G23" s="58"/>
      <c r="H23" s="74"/>
      <c r="I23" s="75">
        <f>H23+G23+F23+E23+D23+C23</f>
        <v>0</v>
      </c>
    </row>
    <row r="24" spans="1:9" ht="24.95" customHeight="1" thickBot="1" x14ac:dyDescent="0.35">
      <c r="A24" s="61"/>
      <c r="B24" s="62" t="s">
        <v>28</v>
      </c>
      <c r="C24" s="63"/>
      <c r="D24" s="64"/>
      <c r="E24" s="77"/>
      <c r="F24" s="64"/>
      <c r="G24" s="64"/>
      <c r="H24" s="65"/>
      <c r="I24" s="130">
        <f>H24+G24+F24+E24+D24+C24</f>
        <v>0</v>
      </c>
    </row>
    <row r="25" spans="1:9" ht="24.95" customHeight="1" thickTop="1" x14ac:dyDescent="0.3">
      <c r="A25" s="47" t="s">
        <v>31</v>
      </c>
      <c r="B25" s="67" t="s">
        <v>4</v>
      </c>
      <c r="C25" s="49"/>
      <c r="D25" s="49"/>
      <c r="E25" s="50"/>
      <c r="F25" s="127"/>
      <c r="G25" s="131"/>
      <c r="H25" s="131"/>
      <c r="I25" s="132"/>
    </row>
    <row r="26" spans="1:9" ht="24.95" customHeight="1" x14ac:dyDescent="0.3">
      <c r="A26" s="54"/>
      <c r="B26" s="55" t="s">
        <v>27</v>
      </c>
      <c r="C26" s="56"/>
      <c r="D26" s="56"/>
      <c r="E26" s="57"/>
      <c r="F26" s="58"/>
      <c r="G26" s="58"/>
      <c r="H26" s="58"/>
      <c r="I26" s="133">
        <f>H26+G26+F26+E26+D26+C26</f>
        <v>0</v>
      </c>
    </row>
    <row r="27" spans="1:9" ht="24.95" customHeight="1" thickBot="1" x14ac:dyDescent="0.35">
      <c r="A27" s="61"/>
      <c r="B27" s="62" t="s">
        <v>28</v>
      </c>
      <c r="C27" s="63"/>
      <c r="D27" s="63"/>
      <c r="E27" s="77"/>
      <c r="F27" s="64"/>
      <c r="G27" s="64"/>
      <c r="H27" s="64"/>
      <c r="I27" s="78">
        <f>H27+G27+F27+E27+D27+C27</f>
        <v>0</v>
      </c>
    </row>
    <row r="28" spans="1:9" ht="24.95" customHeight="1" thickTop="1" x14ac:dyDescent="0.3">
      <c r="A28" s="47" t="s">
        <v>32</v>
      </c>
      <c r="B28" s="67" t="s">
        <v>4</v>
      </c>
      <c r="C28" s="49"/>
      <c r="D28" s="49"/>
      <c r="E28" s="50"/>
      <c r="F28" s="127"/>
      <c r="G28" s="127"/>
      <c r="H28" s="127"/>
      <c r="I28" s="134"/>
    </row>
    <row r="29" spans="1:9" ht="24.95" customHeight="1" x14ac:dyDescent="0.3">
      <c r="A29" s="54"/>
      <c r="B29" s="55" t="s">
        <v>27</v>
      </c>
      <c r="C29" s="56"/>
      <c r="D29" s="56"/>
      <c r="E29" s="57"/>
      <c r="F29" s="58"/>
      <c r="G29" s="58"/>
      <c r="H29" s="58"/>
      <c r="I29" s="135">
        <f>H29+G29+F29+E29+D29+C29</f>
        <v>0</v>
      </c>
    </row>
    <row r="30" spans="1:9" ht="24.95" customHeight="1" thickBot="1" x14ac:dyDescent="0.35">
      <c r="A30" s="61"/>
      <c r="B30" s="62" t="s">
        <v>28</v>
      </c>
      <c r="C30" s="63"/>
      <c r="D30" s="63"/>
      <c r="E30" s="77"/>
      <c r="F30" s="64"/>
      <c r="G30" s="64"/>
      <c r="H30" s="64"/>
      <c r="I30" s="78">
        <f>H30+G30+F30+E30+D30+C30</f>
        <v>0</v>
      </c>
    </row>
    <row r="31" spans="1:9" ht="24.95" customHeight="1" thickTop="1" x14ac:dyDescent="0.3">
      <c r="A31" s="47" t="s">
        <v>33</v>
      </c>
      <c r="B31" s="67" t="s">
        <v>4</v>
      </c>
      <c r="C31" s="49"/>
      <c r="D31" s="127"/>
      <c r="E31" s="127"/>
      <c r="F31" s="127"/>
      <c r="G31" s="127"/>
      <c r="H31" s="127"/>
      <c r="I31" s="136"/>
    </row>
    <row r="32" spans="1:9" ht="24.95" customHeight="1" x14ac:dyDescent="0.3">
      <c r="A32" s="54"/>
      <c r="B32" s="55" t="s">
        <v>24</v>
      </c>
      <c r="C32" s="56"/>
      <c r="D32" s="58"/>
      <c r="E32" s="58"/>
      <c r="F32" s="58"/>
      <c r="G32" s="58"/>
      <c r="H32" s="58"/>
      <c r="I32" s="135">
        <f>H32+G32+F32+E32+D32+C32</f>
        <v>0</v>
      </c>
    </row>
    <row r="33" spans="1:9" ht="30" customHeight="1" thickBot="1" x14ac:dyDescent="0.35">
      <c r="A33" s="61"/>
      <c r="B33" s="62" t="s">
        <v>28</v>
      </c>
      <c r="C33" s="63"/>
      <c r="D33" s="64"/>
      <c r="E33" s="64"/>
      <c r="F33" s="64"/>
      <c r="G33" s="64"/>
      <c r="H33" s="64"/>
      <c r="I33" s="78">
        <f>H33+G33+F33+E33+D33+C33</f>
        <v>0</v>
      </c>
    </row>
    <row r="34" spans="1:9" ht="30" customHeight="1" thickTop="1" x14ac:dyDescent="0.3">
      <c r="A34" s="173" t="s">
        <v>51</v>
      </c>
      <c r="B34" s="174"/>
      <c r="C34" s="175"/>
      <c r="D34" s="176"/>
      <c r="E34" s="176"/>
      <c r="F34" s="176"/>
      <c r="G34" s="176"/>
      <c r="H34" s="176"/>
      <c r="I34" s="177"/>
    </row>
    <row r="35" spans="1:9" ht="30" customHeight="1" x14ac:dyDescent="0.3">
      <c r="A35" s="199" t="s">
        <v>50</v>
      </c>
      <c r="B35" s="200"/>
      <c r="C35" s="203"/>
      <c r="D35" s="203"/>
      <c r="E35" s="203"/>
      <c r="F35" s="203"/>
      <c r="G35" s="203"/>
      <c r="H35" s="203"/>
      <c r="I35" s="204"/>
    </row>
    <row r="36" spans="1:9" ht="30" customHeight="1" x14ac:dyDescent="0.3">
      <c r="A36" s="201"/>
      <c r="B36" s="202"/>
      <c r="C36" s="205"/>
      <c r="D36" s="205"/>
      <c r="E36" s="205"/>
      <c r="F36" s="205"/>
      <c r="G36" s="205"/>
      <c r="H36" s="205"/>
      <c r="I36" s="206"/>
    </row>
    <row r="37" spans="1:9" ht="30" customHeight="1" x14ac:dyDescent="0.3">
      <c r="A37" s="170" t="s">
        <v>70</v>
      </c>
      <c r="B37" s="171"/>
      <c r="C37" s="171"/>
      <c r="D37" s="171"/>
      <c r="E37" s="171"/>
      <c r="F37" s="171"/>
      <c r="G37" s="171"/>
      <c r="H37" s="171"/>
      <c r="I37" s="172"/>
    </row>
    <row r="38" spans="1:9" ht="48" customHeight="1" thickBot="1" x14ac:dyDescent="0.35">
      <c r="A38" s="196" t="s">
        <v>71</v>
      </c>
      <c r="B38" s="197"/>
      <c r="C38" s="198"/>
      <c r="D38" s="161" t="s">
        <v>34</v>
      </c>
      <c r="E38" s="162"/>
      <c r="F38" s="162"/>
      <c r="G38" s="162"/>
      <c r="H38" s="162"/>
      <c r="I38" s="163"/>
    </row>
  </sheetData>
  <mergeCells count="42">
    <mergeCell ref="A34:B34"/>
    <mergeCell ref="A35:B36"/>
    <mergeCell ref="C36:I36"/>
    <mergeCell ref="A37:I37"/>
    <mergeCell ref="A38:C38"/>
    <mergeCell ref="D38:I38"/>
    <mergeCell ref="A4:B4"/>
    <mergeCell ref="C4:E4"/>
    <mergeCell ref="G4:I4"/>
    <mergeCell ref="C5:E5"/>
    <mergeCell ref="G5:H5"/>
    <mergeCell ref="F8:F12"/>
    <mergeCell ref="A13:B13"/>
    <mergeCell ref="C13:D13"/>
    <mergeCell ref="A9:B9"/>
    <mergeCell ref="C9:D9"/>
    <mergeCell ref="A12:B12"/>
    <mergeCell ref="C12:D12"/>
    <mergeCell ref="A10:B10"/>
    <mergeCell ref="C10:D10"/>
    <mergeCell ref="A11:B11"/>
    <mergeCell ref="C11:D11"/>
    <mergeCell ref="A31:A33"/>
    <mergeCell ref="A15:B15"/>
    <mergeCell ref="A16:A18"/>
    <mergeCell ref="A19:A21"/>
    <mergeCell ref="A22:A24"/>
    <mergeCell ref="A25:A27"/>
    <mergeCell ref="A28:A30"/>
    <mergeCell ref="A1:I3"/>
    <mergeCell ref="A5:B5"/>
    <mergeCell ref="A6:B6"/>
    <mergeCell ref="C6:D6"/>
    <mergeCell ref="G6:I6"/>
    <mergeCell ref="A7:B7"/>
    <mergeCell ref="C7:D7"/>
    <mergeCell ref="G7:I7"/>
    <mergeCell ref="A8:B8"/>
    <mergeCell ref="C8:D8"/>
    <mergeCell ref="A14:I14"/>
    <mergeCell ref="C34:I34"/>
    <mergeCell ref="C35:I35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0" orientation="portrait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2"/>
  <sheetViews>
    <sheetView zoomScale="70" zoomScaleNormal="70" zoomScaleSheetLayoutView="100" workbookViewId="0">
      <selection activeCell="C4" sqref="C4:E4"/>
    </sheetView>
  </sheetViews>
  <sheetFormatPr defaultRowHeight="16.5" x14ac:dyDescent="0.3"/>
  <cols>
    <col min="1" max="8" width="11.125" customWidth="1"/>
    <col min="9" max="9" width="15.125" customWidth="1"/>
  </cols>
  <sheetData>
    <row r="1" spans="1:19" ht="16.5" customHeight="1" x14ac:dyDescent="0.3">
      <c r="A1" s="101" t="s">
        <v>0</v>
      </c>
      <c r="B1" s="102"/>
      <c r="C1" s="102"/>
      <c r="D1" s="102"/>
      <c r="E1" s="102"/>
      <c r="F1" s="102"/>
      <c r="G1" s="102"/>
      <c r="H1" s="102"/>
      <c r="I1" s="103"/>
    </row>
    <row r="2" spans="1:19" ht="16.5" customHeight="1" x14ac:dyDescent="0.3">
      <c r="A2" s="104"/>
      <c r="B2" s="105"/>
      <c r="C2" s="105"/>
      <c r="D2" s="105"/>
      <c r="E2" s="105"/>
      <c r="F2" s="105"/>
      <c r="G2" s="105"/>
      <c r="H2" s="105"/>
      <c r="I2" s="106"/>
    </row>
    <row r="3" spans="1:19" ht="16.5" customHeight="1" x14ac:dyDescent="0.3">
      <c r="A3" s="107"/>
      <c r="B3" s="108"/>
      <c r="C3" s="108"/>
      <c r="D3" s="108"/>
      <c r="E3" s="108"/>
      <c r="F3" s="108"/>
      <c r="G3" s="108"/>
      <c r="H3" s="108"/>
      <c r="I3" s="109"/>
    </row>
    <row r="4" spans="1:19" ht="26.25" customHeight="1" x14ac:dyDescent="0.3">
      <c r="A4" s="3" t="s">
        <v>69</v>
      </c>
      <c r="B4" s="4"/>
      <c r="C4" s="149"/>
      <c r="D4" s="150"/>
      <c r="E4" s="195"/>
      <c r="F4" s="5" t="s">
        <v>68</v>
      </c>
      <c r="G4" s="6"/>
      <c r="H4" s="7"/>
      <c r="I4" s="8"/>
      <c r="K4" s="1" t="s">
        <v>37</v>
      </c>
      <c r="L4" s="2"/>
      <c r="M4" s="2"/>
      <c r="N4" s="2"/>
      <c r="O4" s="2"/>
      <c r="P4" s="2"/>
      <c r="Q4" s="2"/>
      <c r="R4" s="2"/>
      <c r="S4" s="2"/>
    </row>
    <row r="5" spans="1:19" ht="26.25" customHeight="1" x14ac:dyDescent="0.3">
      <c r="A5" s="3" t="s">
        <v>1</v>
      </c>
      <c r="B5" s="4"/>
      <c r="C5" s="149"/>
      <c r="D5" s="150"/>
      <c r="E5" s="195"/>
      <c r="F5" s="9" t="s">
        <v>56</v>
      </c>
      <c r="G5" s="10"/>
      <c r="H5" s="11"/>
      <c r="I5" s="12" t="s">
        <v>64</v>
      </c>
      <c r="K5" s="2"/>
      <c r="L5" s="2"/>
      <c r="M5" s="2"/>
      <c r="N5" s="2"/>
      <c r="O5" s="2"/>
      <c r="P5" s="2"/>
      <c r="Q5" s="2"/>
      <c r="R5" s="2"/>
      <c r="S5" s="2"/>
    </row>
    <row r="6" spans="1:19" ht="26.25" customHeight="1" x14ac:dyDescent="0.3">
      <c r="A6" s="3" t="s">
        <v>2</v>
      </c>
      <c r="B6" s="4"/>
      <c r="C6" s="143"/>
      <c r="D6" s="144"/>
      <c r="E6" s="13" t="s">
        <v>3</v>
      </c>
      <c r="F6" s="14" t="s">
        <v>58</v>
      </c>
      <c r="G6" s="15"/>
      <c r="H6" s="16"/>
      <c r="I6" s="17"/>
      <c r="K6" s="2"/>
      <c r="L6" s="2"/>
      <c r="M6" s="2"/>
      <c r="N6" s="2"/>
      <c r="O6" s="2"/>
      <c r="P6" s="2"/>
      <c r="Q6" s="2"/>
      <c r="R6" s="2"/>
      <c r="S6" s="2"/>
    </row>
    <row r="7" spans="1:19" ht="26.25" customHeight="1" x14ac:dyDescent="0.3">
      <c r="A7" s="3" t="s">
        <v>5</v>
      </c>
      <c r="B7" s="4"/>
      <c r="C7" s="143"/>
      <c r="D7" s="144"/>
      <c r="E7" s="13" t="s">
        <v>3</v>
      </c>
      <c r="F7" s="14" t="s">
        <v>59</v>
      </c>
      <c r="G7" s="18"/>
      <c r="H7" s="19"/>
      <c r="I7" s="20"/>
      <c r="K7" s="1" t="s">
        <v>35</v>
      </c>
      <c r="L7" s="2"/>
      <c r="M7" s="2"/>
      <c r="N7" s="2"/>
      <c r="O7" s="2"/>
      <c r="P7" s="2"/>
      <c r="Q7" s="2"/>
      <c r="R7" s="2"/>
      <c r="S7" s="2"/>
    </row>
    <row r="8" spans="1:19" ht="26.25" customHeight="1" x14ac:dyDescent="0.3">
      <c r="A8" s="3" t="s">
        <v>6</v>
      </c>
      <c r="B8" s="4"/>
      <c r="C8" s="145">
        <f>I17+I20+I23+I26+I29+I32</f>
        <v>0</v>
      </c>
      <c r="D8" s="146"/>
      <c r="E8" s="21" t="s">
        <v>3</v>
      </c>
      <c r="F8" s="22" t="s">
        <v>67</v>
      </c>
      <c r="G8" s="23" t="s">
        <v>60</v>
      </c>
      <c r="H8" s="24"/>
      <c r="I8" s="25" t="s">
        <v>65</v>
      </c>
      <c r="K8" s="2"/>
      <c r="L8" s="2"/>
      <c r="M8" s="2"/>
      <c r="N8" s="2"/>
      <c r="O8" s="2"/>
      <c r="P8" s="2"/>
      <c r="Q8" s="2"/>
      <c r="R8" s="2"/>
      <c r="S8" s="2"/>
    </row>
    <row r="9" spans="1:19" ht="26.25" customHeight="1" x14ac:dyDescent="0.3">
      <c r="A9" s="26" t="s">
        <v>7</v>
      </c>
      <c r="B9" s="27"/>
      <c r="C9" s="147">
        <f>C6-C7-C8</f>
        <v>0</v>
      </c>
      <c r="D9" s="148"/>
      <c r="E9" s="13" t="s">
        <v>3</v>
      </c>
      <c r="F9" s="28"/>
      <c r="G9" s="29" t="s">
        <v>52</v>
      </c>
      <c r="H9" s="30"/>
      <c r="I9" s="25" t="s">
        <v>65</v>
      </c>
      <c r="K9" s="2"/>
      <c r="L9" s="2"/>
      <c r="M9" s="2"/>
      <c r="N9" s="2"/>
      <c r="O9" s="2"/>
      <c r="P9" s="2"/>
      <c r="Q9" s="2"/>
      <c r="R9" s="2"/>
      <c r="S9" s="2"/>
    </row>
    <row r="10" spans="1:19" ht="26.25" customHeight="1" x14ac:dyDescent="0.3">
      <c r="A10" s="3" t="s">
        <v>8</v>
      </c>
      <c r="B10" s="4"/>
      <c r="C10" s="145">
        <f>I18-I21</f>
        <v>0</v>
      </c>
      <c r="D10" s="146"/>
      <c r="E10" s="13" t="s">
        <v>3</v>
      </c>
      <c r="F10" s="28"/>
      <c r="G10" s="29" t="s">
        <v>53</v>
      </c>
      <c r="H10" s="30"/>
      <c r="I10" s="25" t="s">
        <v>65</v>
      </c>
      <c r="K10" s="1" t="s">
        <v>36</v>
      </c>
      <c r="L10" s="2"/>
      <c r="M10" s="2"/>
      <c r="N10" s="2"/>
      <c r="O10" s="2"/>
      <c r="P10" s="2"/>
      <c r="Q10" s="2"/>
      <c r="R10" s="2"/>
      <c r="S10" s="2"/>
    </row>
    <row r="11" spans="1:19" ht="26.25" customHeight="1" x14ac:dyDescent="0.3">
      <c r="A11" s="3" t="s">
        <v>9</v>
      </c>
      <c r="B11" s="4"/>
      <c r="C11" s="145">
        <f>(C7*G13)/12</f>
        <v>0</v>
      </c>
      <c r="D11" s="146"/>
      <c r="E11" s="13" t="s">
        <v>3</v>
      </c>
      <c r="F11" s="28"/>
      <c r="G11" s="29" t="s">
        <v>54</v>
      </c>
      <c r="H11" s="30"/>
      <c r="I11" s="25" t="s">
        <v>65</v>
      </c>
      <c r="K11" s="2"/>
      <c r="L11" s="2"/>
      <c r="M11" s="2"/>
      <c r="N11" s="2"/>
      <c r="O11" s="2"/>
      <c r="P11" s="2"/>
      <c r="Q11" s="2"/>
      <c r="R11" s="2"/>
      <c r="S11" s="2"/>
    </row>
    <row r="12" spans="1:19" ht="26.25" customHeight="1" x14ac:dyDescent="0.3">
      <c r="A12" s="3" t="s">
        <v>10</v>
      </c>
      <c r="B12" s="4"/>
      <c r="C12" s="147">
        <f>C10-C11</f>
        <v>0</v>
      </c>
      <c r="D12" s="148"/>
      <c r="E12" s="13" t="s">
        <v>3</v>
      </c>
      <c r="F12" s="31"/>
      <c r="G12" s="29" t="s">
        <v>55</v>
      </c>
      <c r="H12" s="30"/>
      <c r="I12" s="32" t="s">
        <v>65</v>
      </c>
      <c r="K12" s="2"/>
      <c r="L12" s="2"/>
      <c r="M12" s="2"/>
      <c r="N12" s="2"/>
      <c r="O12" s="2"/>
      <c r="P12" s="2"/>
      <c r="Q12" s="2"/>
      <c r="R12" s="2"/>
      <c r="S12" s="2"/>
    </row>
    <row r="13" spans="1:19" ht="27.75" x14ac:dyDescent="0.3">
      <c r="A13" s="26" t="s">
        <v>11</v>
      </c>
      <c r="B13" s="27"/>
      <c r="C13" s="147">
        <f>C12*12</f>
        <v>0</v>
      </c>
      <c r="D13" s="148"/>
      <c r="E13" s="13" t="s">
        <v>3</v>
      </c>
      <c r="F13" s="110" t="s">
        <v>12</v>
      </c>
      <c r="G13" s="34">
        <v>3.7999999999999999E-2</v>
      </c>
      <c r="H13" s="35" t="s">
        <v>13</v>
      </c>
      <c r="I13" s="36" t="e">
        <f>C12*12/C9</f>
        <v>#DIV/0!</v>
      </c>
      <c r="K13" s="2"/>
      <c r="L13" s="2"/>
      <c r="M13" s="2"/>
      <c r="N13" s="2"/>
      <c r="O13" s="2"/>
      <c r="P13" s="2"/>
      <c r="Q13" s="2"/>
      <c r="R13" s="2"/>
      <c r="S13" s="2"/>
    </row>
    <row r="14" spans="1:19" ht="36" x14ac:dyDescent="0.3">
      <c r="A14" s="37" t="s">
        <v>14</v>
      </c>
      <c r="B14" s="38"/>
      <c r="C14" s="38"/>
      <c r="D14" s="38"/>
      <c r="E14" s="38"/>
      <c r="F14" s="38"/>
      <c r="G14" s="38"/>
      <c r="H14" s="38"/>
      <c r="I14" s="39"/>
      <c r="K14" s="2"/>
      <c r="L14" s="2"/>
      <c r="M14" s="2"/>
      <c r="N14" s="2"/>
      <c r="O14" s="2"/>
      <c r="P14" s="2"/>
      <c r="Q14" s="2"/>
      <c r="R14" s="2"/>
      <c r="S14" s="2"/>
    </row>
    <row r="15" spans="1:19" ht="24.95" customHeight="1" thickBot="1" x14ac:dyDescent="0.35">
      <c r="A15" s="40" t="s">
        <v>15</v>
      </c>
      <c r="B15" s="41"/>
      <c r="C15" s="42" t="s">
        <v>49</v>
      </c>
      <c r="D15" s="43" t="s">
        <v>44</v>
      </c>
      <c r="E15" s="44" t="s">
        <v>45</v>
      </c>
      <c r="F15" s="44" t="s">
        <v>46</v>
      </c>
      <c r="G15" s="45" t="s">
        <v>47</v>
      </c>
      <c r="H15" s="44" t="s">
        <v>48</v>
      </c>
      <c r="I15" s="46" t="s">
        <v>22</v>
      </c>
      <c r="K15" s="2"/>
      <c r="L15" s="2"/>
      <c r="M15" s="2"/>
      <c r="N15" s="2"/>
      <c r="O15" s="2"/>
      <c r="P15" s="2"/>
      <c r="Q15" s="2"/>
      <c r="R15" s="2"/>
      <c r="S15" s="2"/>
    </row>
    <row r="16" spans="1:19" ht="24.95" customHeight="1" thickTop="1" x14ac:dyDescent="0.3">
      <c r="A16" s="47" t="s">
        <v>39</v>
      </c>
      <c r="B16" s="48" t="s">
        <v>4</v>
      </c>
      <c r="C16" s="49"/>
      <c r="D16" s="49"/>
      <c r="E16" s="50"/>
      <c r="F16" s="51"/>
      <c r="G16" s="51"/>
      <c r="H16" s="52"/>
      <c r="I16" s="53"/>
    </row>
    <row r="17" spans="1:15" ht="24.95" customHeight="1" x14ac:dyDescent="0.3">
      <c r="A17" s="54"/>
      <c r="B17" s="55" t="s">
        <v>24</v>
      </c>
      <c r="C17" s="56"/>
      <c r="D17" s="56"/>
      <c r="E17" s="57"/>
      <c r="F17" s="58"/>
      <c r="G17" s="58"/>
      <c r="H17" s="59"/>
      <c r="I17" s="60">
        <f>H17+G17+F17+E17+D17+C17</f>
        <v>0</v>
      </c>
    </row>
    <row r="18" spans="1:15" ht="24.95" customHeight="1" thickBot="1" x14ac:dyDescent="0.35">
      <c r="A18" s="61"/>
      <c r="B18" s="62" t="s">
        <v>25</v>
      </c>
      <c r="C18" s="63"/>
      <c r="D18" s="64"/>
      <c r="E18" s="64"/>
      <c r="F18" s="64"/>
      <c r="G18" s="64"/>
      <c r="H18" s="65"/>
      <c r="I18" s="66">
        <f>H18+G18+F18+E18+D18+C18</f>
        <v>0</v>
      </c>
    </row>
    <row r="19" spans="1:15" ht="24.95" customHeight="1" thickTop="1" x14ac:dyDescent="0.3">
      <c r="A19" s="47" t="s">
        <v>38</v>
      </c>
      <c r="B19" s="67"/>
      <c r="C19" s="207" t="s">
        <v>40</v>
      </c>
      <c r="D19" s="208" t="s">
        <v>41</v>
      </c>
      <c r="E19" s="68" t="s">
        <v>42</v>
      </c>
      <c r="F19" s="68" t="s">
        <v>43</v>
      </c>
      <c r="G19" s="69"/>
      <c r="H19" s="70"/>
      <c r="I19" s="71"/>
    </row>
    <row r="20" spans="1:15" ht="24.95" customHeight="1" x14ac:dyDescent="0.3">
      <c r="A20" s="54"/>
      <c r="B20" s="72"/>
      <c r="C20" s="56"/>
      <c r="D20" s="56"/>
      <c r="E20" s="73"/>
      <c r="F20" s="58"/>
      <c r="G20" s="58"/>
      <c r="H20" s="74"/>
      <c r="I20" s="75">
        <f>H20+G20+F20+E20+D20+C20</f>
        <v>0</v>
      </c>
      <c r="O20" s="160"/>
    </row>
    <row r="21" spans="1:15" ht="24.95" customHeight="1" thickBot="1" x14ac:dyDescent="0.35">
      <c r="A21" s="61"/>
      <c r="B21" s="76"/>
      <c r="C21" s="63"/>
      <c r="D21" s="63"/>
      <c r="E21" s="77"/>
      <c r="F21" s="64"/>
      <c r="G21" s="64"/>
      <c r="H21" s="64"/>
      <c r="I21" s="78">
        <f>H21+G21+F21+E21+D21+C21</f>
        <v>0</v>
      </c>
    </row>
    <row r="22" spans="1:15" ht="24.95" customHeight="1" thickTop="1" x14ac:dyDescent="0.3">
      <c r="A22" s="79"/>
      <c r="B22" s="80"/>
      <c r="C22" s="81"/>
      <c r="D22" s="69"/>
      <c r="E22" s="82"/>
      <c r="F22" s="69"/>
      <c r="G22" s="69"/>
      <c r="H22" s="70"/>
      <c r="I22" s="83"/>
    </row>
    <row r="23" spans="1:15" ht="24.95" customHeight="1" x14ac:dyDescent="0.3">
      <c r="A23" s="84"/>
      <c r="B23" s="72"/>
      <c r="C23" s="85"/>
      <c r="D23" s="86"/>
      <c r="E23" s="87"/>
      <c r="F23" s="86"/>
      <c r="G23" s="86"/>
      <c r="H23" s="88"/>
      <c r="I23" s="89">
        <f>H23+G23+F23+E23+D23+C23</f>
        <v>0</v>
      </c>
    </row>
    <row r="24" spans="1:15" ht="24.95" customHeight="1" thickBot="1" x14ac:dyDescent="0.35">
      <c r="A24" s="90"/>
      <c r="B24" s="76"/>
      <c r="C24" s="91"/>
      <c r="D24" s="92"/>
      <c r="E24" s="93"/>
      <c r="F24" s="92"/>
      <c r="G24" s="92"/>
      <c r="H24" s="94"/>
      <c r="I24" s="95">
        <f>H24+G24+F24+E24+D24+C24</f>
        <v>0</v>
      </c>
    </row>
    <row r="25" spans="1:15" ht="24.95" customHeight="1" thickTop="1" x14ac:dyDescent="0.3">
      <c r="A25" s="79"/>
      <c r="B25" s="80"/>
      <c r="C25" s="81"/>
      <c r="D25" s="81"/>
      <c r="E25" s="82"/>
      <c r="F25" s="69"/>
      <c r="G25" s="96"/>
      <c r="H25" s="96"/>
      <c r="I25" s="97"/>
    </row>
    <row r="26" spans="1:15" ht="24.95" customHeight="1" x14ac:dyDescent="0.3">
      <c r="A26" s="84"/>
      <c r="B26" s="72"/>
      <c r="C26" s="85"/>
      <c r="D26" s="85"/>
      <c r="E26" s="87"/>
      <c r="F26" s="86"/>
      <c r="G26" s="86"/>
      <c r="H26" s="86"/>
      <c r="I26" s="98">
        <f>H26+G26+F26+E26+D26+C26</f>
        <v>0</v>
      </c>
    </row>
    <row r="27" spans="1:15" ht="30" customHeight="1" thickBot="1" x14ac:dyDescent="0.35">
      <c r="A27" s="90"/>
      <c r="B27" s="76"/>
      <c r="C27" s="91"/>
      <c r="D27" s="91"/>
      <c r="E27" s="93"/>
      <c r="F27" s="92"/>
      <c r="G27" s="92"/>
      <c r="H27" s="92"/>
      <c r="I27" s="99">
        <f>H27+G27+F27+E27+D27+C27</f>
        <v>0</v>
      </c>
    </row>
    <row r="28" spans="1:15" ht="30" customHeight="1" thickTop="1" x14ac:dyDescent="0.3">
      <c r="A28" s="173" t="s">
        <v>51</v>
      </c>
      <c r="B28" s="174"/>
      <c r="C28" s="175"/>
      <c r="D28" s="176"/>
      <c r="E28" s="176"/>
      <c r="F28" s="176"/>
      <c r="G28" s="176"/>
      <c r="H28" s="176"/>
      <c r="I28" s="177"/>
    </row>
    <row r="29" spans="1:15" ht="30" customHeight="1" x14ac:dyDescent="0.3">
      <c r="A29" s="199" t="s">
        <v>50</v>
      </c>
      <c r="B29" s="200"/>
      <c r="C29" s="203"/>
      <c r="D29" s="203"/>
      <c r="E29" s="203"/>
      <c r="F29" s="203"/>
      <c r="G29" s="203"/>
      <c r="H29" s="203"/>
      <c r="I29" s="204"/>
    </row>
    <row r="30" spans="1:15" ht="30" customHeight="1" x14ac:dyDescent="0.3">
      <c r="A30" s="201"/>
      <c r="B30" s="202"/>
      <c r="C30" s="205"/>
      <c r="D30" s="205"/>
      <c r="E30" s="205"/>
      <c r="F30" s="205"/>
      <c r="G30" s="205"/>
      <c r="H30" s="205"/>
      <c r="I30" s="206"/>
    </row>
    <row r="31" spans="1:15" ht="30" customHeight="1" x14ac:dyDescent="0.3">
      <c r="A31" s="170" t="s">
        <v>70</v>
      </c>
      <c r="B31" s="171"/>
      <c r="C31" s="171"/>
      <c r="D31" s="171"/>
      <c r="E31" s="171"/>
      <c r="F31" s="171"/>
      <c r="G31" s="171"/>
      <c r="H31" s="171"/>
      <c r="I31" s="172"/>
    </row>
    <row r="32" spans="1:15" ht="48" customHeight="1" thickBot="1" x14ac:dyDescent="0.35">
      <c r="A32" s="196" t="s">
        <v>71</v>
      </c>
      <c r="B32" s="197"/>
      <c r="C32" s="198"/>
      <c r="D32" s="161" t="s">
        <v>34</v>
      </c>
      <c r="E32" s="162"/>
      <c r="F32" s="162"/>
      <c r="G32" s="162"/>
      <c r="H32" s="162"/>
      <c r="I32" s="163"/>
    </row>
  </sheetData>
  <mergeCells count="40">
    <mergeCell ref="A28:B28"/>
    <mergeCell ref="A29:B30"/>
    <mergeCell ref="C30:I30"/>
    <mergeCell ref="A31:I31"/>
    <mergeCell ref="A32:C32"/>
    <mergeCell ref="D32:I32"/>
    <mergeCell ref="A9:B9"/>
    <mergeCell ref="C9:D9"/>
    <mergeCell ref="A10:B10"/>
    <mergeCell ref="C10:D10"/>
    <mergeCell ref="A11:B11"/>
    <mergeCell ref="C11:D11"/>
    <mergeCell ref="A12:B12"/>
    <mergeCell ref="C12:D12"/>
    <mergeCell ref="F8:F12"/>
    <mergeCell ref="A14:I14"/>
    <mergeCell ref="A22:A24"/>
    <mergeCell ref="A25:A27"/>
    <mergeCell ref="C28:I28"/>
    <mergeCell ref="C29:I29"/>
    <mergeCell ref="A13:B13"/>
    <mergeCell ref="C13:D13"/>
    <mergeCell ref="A15:B15"/>
    <mergeCell ref="A16:A18"/>
    <mergeCell ref="A19:A21"/>
    <mergeCell ref="A1:I3"/>
    <mergeCell ref="A5:B5"/>
    <mergeCell ref="A6:B6"/>
    <mergeCell ref="C6:D6"/>
    <mergeCell ref="G6:I6"/>
    <mergeCell ref="C5:E5"/>
    <mergeCell ref="G5:H5"/>
    <mergeCell ref="A4:B4"/>
    <mergeCell ref="C4:E4"/>
    <mergeCell ref="G4:I4"/>
    <mergeCell ref="A7:B7"/>
    <mergeCell ref="C7:D7"/>
    <mergeCell ref="G7:I7"/>
    <mergeCell ref="A8:B8"/>
    <mergeCell ref="C8:D8"/>
  </mergeCells>
  <phoneticPr fontId="2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4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9</vt:i4>
      </vt:variant>
    </vt:vector>
  </HeadingPairs>
  <TitlesOfParts>
    <vt:vector size="18" baseType="lpstr">
      <vt:lpstr>구축</vt:lpstr>
      <vt:lpstr>신축</vt:lpstr>
      <vt:lpstr>상가주택1</vt:lpstr>
      <vt:lpstr>상가주택2</vt:lpstr>
      <vt:lpstr>상가주택3</vt:lpstr>
      <vt:lpstr>상가주택4</vt:lpstr>
      <vt:lpstr>오피스텔</vt:lpstr>
      <vt:lpstr>상가건물</vt:lpstr>
      <vt:lpstr>숙박시설</vt:lpstr>
      <vt:lpstr>구축!Print_Area</vt:lpstr>
      <vt:lpstr>상가건물!Print_Area</vt:lpstr>
      <vt:lpstr>상가주택1!Print_Area</vt:lpstr>
      <vt:lpstr>상가주택2!Print_Area</vt:lpstr>
      <vt:lpstr>상가주택3!Print_Area</vt:lpstr>
      <vt:lpstr>상가주택4!Print_Area</vt:lpstr>
      <vt:lpstr>숙박시설!Print_Area</vt:lpstr>
      <vt:lpstr>신축!Print_Area</vt:lpstr>
      <vt:lpstr>오피스텔!Print_Area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hyunwoo</dc:creator>
  <cp:lastModifiedBy>USER</cp:lastModifiedBy>
  <cp:lastPrinted>2023-04-07T06:28:48Z</cp:lastPrinted>
  <dcterms:created xsi:type="dcterms:W3CDTF">2018-07-19T07:32:53Z</dcterms:created>
  <dcterms:modified xsi:type="dcterms:W3CDTF">2023-04-07T06:32:59Z</dcterms:modified>
</cp:coreProperties>
</file>